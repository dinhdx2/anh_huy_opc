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ướng dẫn" sheetId="1" state="visible" r:id="rId1"/>
    <sheet name="Nhập đơn" sheetId="2" state="visible" r:id="rId2"/>
    <sheet name="Lãi thậ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color rgb="002563EB"/>
      <sz val="15"/>
    </font>
    <font>
      <b val="1"/>
      <color rgb="00FFFFFF"/>
      <sz val="10"/>
    </font>
    <font>
      <b val="1"/>
      <color rgb="000F172A"/>
    </font>
    <font>
      <b val="1"/>
    </font>
  </fonts>
  <fills count="3">
    <fill>
      <patternFill/>
    </fill>
    <fill>
      <patternFill patternType="gray125"/>
    </fill>
    <fill>
      <patternFill patternType="solid">
        <fgColor rgb="001E293B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0" fontId="3" fillId="0" borderId="0" pivotButton="0" quotePrefix="0" xfId="0"/>
    <xf numFmtId="164" fontId="4" fillId="0" borderId="1" pivotButton="0" quotePrefix="0" xfId="0"/>
    <xf numFmtId="3" fontId="4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dxfs count="2"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047857"/>
      </font>
      <fill>
        <patternFill patternType="solid">
          <fgColor rgb="00D1FAE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BỘMẪU FREE — Tính LÃI THẬT (1 sàn: TikTok Shop)</t>
        </is>
      </c>
    </row>
    <row r="3">
      <c r="A3" t="inlineStr"/>
    </row>
    <row r="4">
      <c r="A4" t="inlineStr">
        <is>
          <t>Bản MIỄN PHÍ — chỉ 1 sàn, 2 tab. Nhập đơn ở tab 'Nhập đơn', xem lãi ở tab 'Lãi thật'.</t>
        </is>
      </c>
    </row>
    <row r="5">
      <c r="A5" t="inlineStr">
        <is>
          <t>Phí sàn gộp &amp; thuế sửa ở khối cấu hình đầu tab 'Lãi thật'.</t>
        </is>
      </c>
    </row>
    <row r="6">
      <c r="A6" t="inlineStr">
        <is>
          <t>Thuế = 1,5% (GTGT 1% + TNCN 0,5%, hàng hóa — MẪU, cần kế toán rà).</t>
        </is>
      </c>
    </row>
    <row r="7">
      <c r="A7" t="inlineStr">
        <is>
          <t>Số phí là benchmark 2026, cần bạn xác minh. Dữ liệu đơn là ví dụ minh họa.</t>
        </is>
      </c>
    </row>
    <row r="8">
      <c r="A8" t="inlineStr"/>
    </row>
    <row r="9">
      <c r="A9" t="inlineStr">
        <is>
          <t>NÂNG CẤP bản đầy đủ đa-sàn (TikTok Shop + Shopee) để có thêm: cấu hình đa-sàn,</t>
        </is>
      </c>
    </row>
    <row r="10">
      <c r="A10" t="inlineStr">
        <is>
          <t>ĐỐI SOÁT tiền sàn thực về, và DASHBOARD tổng theo kênh/SKU.  →  landing BộMẫu.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6" customWidth="1" min="4" max="4"/>
    <col width="13" customWidth="1" min="5" max="5"/>
    <col width="13" customWidth="1" min="6" max="6"/>
    <col width="14" customWidth="1" min="7" max="7"/>
    <col width="14" customWidth="1" min="8" max="8"/>
  </cols>
  <sheetData>
    <row r="1">
      <c r="A1" s="1" t="inlineStr">
        <is>
          <t>Nhập đơn (TikTok Shop)</t>
        </is>
      </c>
    </row>
    <row r="3">
      <c r="A3" s="2" t="inlineStr">
        <is>
          <t>Mã đơn</t>
        </is>
      </c>
      <c r="B3" s="2" t="inlineStr">
        <is>
          <t>Ngày</t>
        </is>
      </c>
      <c r="C3" s="2" t="inlineStr">
        <is>
          <t>SKU</t>
        </is>
      </c>
      <c r="D3" s="2" t="inlineStr">
        <is>
          <t>SL</t>
        </is>
      </c>
      <c r="E3" s="2" t="inlineStr">
        <is>
          <t>Giá bán</t>
        </is>
      </c>
      <c r="F3" s="2" t="inlineStr">
        <is>
          <t>Giá vốn/SP</t>
        </is>
      </c>
      <c r="G3" s="2" t="inlineStr">
        <is>
          <t>Giảm giá (VND)</t>
        </is>
      </c>
      <c r="H3" s="2" t="inlineStr">
        <is>
          <t>Ads (VND)</t>
        </is>
      </c>
    </row>
    <row r="4">
      <c r="A4" s="3" t="inlineStr">
        <is>
          <t>DH001</t>
        </is>
      </c>
      <c r="B4" s="3" t="inlineStr">
        <is>
          <t>01/07/2026</t>
        </is>
      </c>
      <c r="C4" s="3" t="inlineStr">
        <is>
          <t>AO-THUN-DEN-M</t>
        </is>
      </c>
      <c r="D4" s="3" t="n">
        <v>2</v>
      </c>
      <c r="E4" s="4" t="n">
        <v>150000</v>
      </c>
      <c r="F4" s="4" t="n">
        <v>60000</v>
      </c>
      <c r="G4" s="4" t="n">
        <v>10000</v>
      </c>
      <c r="H4" s="4" t="n">
        <v>15000</v>
      </c>
    </row>
    <row r="5">
      <c r="A5" s="3" t="inlineStr">
        <is>
          <t>DH003</t>
        </is>
      </c>
      <c r="B5" s="3" t="inlineStr">
        <is>
          <t>02/07/2026</t>
        </is>
      </c>
      <c r="C5" s="3" t="inlineStr">
        <is>
          <t>VAY-HOA-S</t>
        </is>
      </c>
      <c r="D5" s="3" t="n">
        <v>1</v>
      </c>
      <c r="E5" s="4" t="n">
        <v>219000</v>
      </c>
      <c r="F5" s="4" t="n">
        <v>85000</v>
      </c>
      <c r="G5" s="4" t="n">
        <v>15000</v>
      </c>
      <c r="H5" s="4" t="n">
        <v>30000</v>
      </c>
    </row>
    <row r="6">
      <c r="A6" s="3" t="inlineStr">
        <is>
          <t>DH006</t>
        </is>
      </c>
      <c r="B6" s="3" t="inlineStr">
        <is>
          <t>03/07/2026</t>
        </is>
      </c>
      <c r="C6" s="3" t="inlineStr">
        <is>
          <t>QUAN-JEAN-29</t>
        </is>
      </c>
      <c r="D6" s="3" t="n">
        <v>1</v>
      </c>
      <c r="E6" s="4" t="n">
        <v>299000</v>
      </c>
      <c r="F6" s="4" t="n">
        <v>140000</v>
      </c>
      <c r="G6" s="4" t="n">
        <v>0</v>
      </c>
      <c r="H6" s="4" t="n">
        <v>20000</v>
      </c>
    </row>
    <row r="7">
      <c r="A7" s="3" t="inlineStr">
        <is>
          <t>DH007</t>
        </is>
      </c>
      <c r="B7" s="3" t="inlineStr">
        <is>
          <t>04/07/2026</t>
        </is>
      </c>
      <c r="C7" s="3" t="inlineStr">
        <is>
          <t>AO-THUN-DEN-M</t>
        </is>
      </c>
      <c r="D7" s="3" t="n">
        <v>1</v>
      </c>
      <c r="E7" s="4" t="n">
        <v>150000</v>
      </c>
      <c r="F7" s="4" t="n">
        <v>60000</v>
      </c>
      <c r="G7" s="4" t="n">
        <v>5000</v>
      </c>
      <c r="H7" s="4" t="n">
        <v>10000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0" customWidth="1" min="4" max="4"/>
    <col width="11" customWidth="1" min="5" max="5"/>
    <col width="11" customWidth="1" min="6" max="6"/>
    <col width="12" customWidth="1" min="7" max="7"/>
    <col width="13" customWidth="1" min="8" max="8"/>
    <col width="9" customWidth="1" min="9" max="9"/>
  </cols>
  <sheetData>
    <row r="1">
      <c r="A1" s="1" t="inlineStr">
        <is>
          <t>LÃI THẬT / đơn (bản free 1 sàn)</t>
        </is>
      </c>
    </row>
    <row r="3">
      <c r="A3" s="5" t="inlineStr">
        <is>
          <t>CẤU HÌNH (sửa theo shop của bạn)</t>
        </is>
      </c>
    </row>
    <row r="4">
      <c r="A4" s="3" t="inlineStr">
        <is>
          <t>Phí sàn gộp % (hoa hồng + giao dịch)</t>
        </is>
      </c>
      <c r="B4" s="6" t="n">
        <v>0.185</v>
      </c>
    </row>
    <row r="5">
      <c r="A5" s="3" t="inlineStr">
        <is>
          <t>Phí xử lý đơn (VND/đơn)</t>
        </is>
      </c>
      <c r="B5" s="7" t="n">
        <v>3000</v>
      </c>
    </row>
    <row r="6">
      <c r="A6" s="3" t="inlineStr">
        <is>
          <t>Thuế GTGT %</t>
        </is>
      </c>
      <c r="B6" s="6" t="n">
        <v>0.01</v>
      </c>
    </row>
    <row r="7">
      <c r="A7" s="3" t="inlineStr">
        <is>
          <t>Thuế TNCN %</t>
        </is>
      </c>
      <c r="B7" s="6" t="n">
        <v>0.005</v>
      </c>
    </row>
    <row r="10">
      <c r="A10" s="2" t="inlineStr">
        <is>
          <t>Mã đơn</t>
        </is>
      </c>
      <c r="B10" s="2" t="inlineStr">
        <is>
          <t>Doanh thu</t>
        </is>
      </c>
      <c r="C10" s="2" t="inlineStr">
        <is>
          <t>Phí sàn gộp</t>
        </is>
      </c>
      <c r="D10" s="2" t="inlineStr">
        <is>
          <t>Phí xử lý</t>
        </is>
      </c>
      <c r="E10" s="2" t="inlineStr">
        <is>
          <t>Giá vốn</t>
        </is>
      </c>
      <c r="F10" s="2" t="inlineStr">
        <is>
          <t>Ads</t>
        </is>
      </c>
      <c r="G10" s="2" t="inlineStr">
        <is>
          <t>Thuế khoán</t>
        </is>
      </c>
      <c r="H10" s="2" t="inlineStr">
        <is>
          <t>LÃI THẬT</t>
        </is>
      </c>
      <c r="I10" s="2" t="inlineStr">
        <is>
          <t>Biên %</t>
        </is>
      </c>
    </row>
    <row r="11">
      <c r="A11" s="3">
        <f>'Nhập đơn'!A4</f>
        <v/>
      </c>
      <c r="B11" s="4">
        <f>'Nhập đơn'!D4*'Nhập đơn'!E4-'Nhập đơn'!G4</f>
        <v/>
      </c>
      <c r="C11" s="4">
        <f>B11*$B$4</f>
        <v/>
      </c>
      <c r="D11" s="4">
        <f>$B$5</f>
        <v/>
      </c>
      <c r="E11" s="4">
        <f>'Nhập đơn'!D4*'Nhập đơn'!F4</f>
        <v/>
      </c>
      <c r="F11" s="4">
        <f>'Nhập đơn'!H4</f>
        <v/>
      </c>
      <c r="G11" s="4">
        <f>B11*($B$6+$B$7)</f>
        <v/>
      </c>
      <c r="H11" s="7">
        <f>B11-C11-D11-E11-F11-G11</f>
        <v/>
      </c>
      <c r="I11" s="8">
        <f>IF(B11=0,"",H11/B11)</f>
        <v/>
      </c>
    </row>
    <row r="12">
      <c r="A12" s="3">
        <f>'Nhập đơn'!A5</f>
        <v/>
      </c>
      <c r="B12" s="4">
        <f>'Nhập đơn'!D5*'Nhập đơn'!E5-'Nhập đơn'!G5</f>
        <v/>
      </c>
      <c r="C12" s="4">
        <f>B12*$B$4</f>
        <v/>
      </c>
      <c r="D12" s="4">
        <f>$B$5</f>
        <v/>
      </c>
      <c r="E12" s="4">
        <f>'Nhập đơn'!D5*'Nhập đơn'!F5</f>
        <v/>
      </c>
      <c r="F12" s="4">
        <f>'Nhập đơn'!H5</f>
        <v/>
      </c>
      <c r="G12" s="4">
        <f>B12*($B$6+$B$7)</f>
        <v/>
      </c>
      <c r="H12" s="7">
        <f>B12-C12-D12-E12-F12-G12</f>
        <v/>
      </c>
      <c r="I12" s="8">
        <f>IF(B12=0,"",H12/B12)</f>
        <v/>
      </c>
    </row>
    <row r="13">
      <c r="A13" s="3">
        <f>'Nhập đơn'!A6</f>
        <v/>
      </c>
      <c r="B13" s="4">
        <f>'Nhập đơn'!D6*'Nhập đơn'!E6-'Nhập đơn'!G6</f>
        <v/>
      </c>
      <c r="C13" s="4">
        <f>B13*$B$4</f>
        <v/>
      </c>
      <c r="D13" s="4">
        <f>$B$5</f>
        <v/>
      </c>
      <c r="E13" s="4">
        <f>'Nhập đơn'!D6*'Nhập đơn'!F6</f>
        <v/>
      </c>
      <c r="F13" s="4">
        <f>'Nhập đơn'!H6</f>
        <v/>
      </c>
      <c r="G13" s="4">
        <f>B13*($B$6+$B$7)</f>
        <v/>
      </c>
      <c r="H13" s="7">
        <f>B13-C13-D13-E13-F13-G13</f>
        <v/>
      </c>
      <c r="I13" s="8">
        <f>IF(B13=0,"",H13/B13)</f>
        <v/>
      </c>
    </row>
    <row r="14">
      <c r="A14" s="3">
        <f>'Nhập đơn'!A7</f>
        <v/>
      </c>
      <c r="B14" s="4">
        <f>'Nhập đơn'!D7*'Nhập đơn'!E7-'Nhập đơn'!G7</f>
        <v/>
      </c>
      <c r="C14" s="4">
        <f>B14*$B$4</f>
        <v/>
      </c>
      <c r="D14" s="4">
        <f>$B$5</f>
        <v/>
      </c>
      <c r="E14" s="4">
        <f>'Nhập đơn'!D7*'Nhập đơn'!F7</f>
        <v/>
      </c>
      <c r="F14" s="4">
        <f>'Nhập đơn'!H7</f>
        <v/>
      </c>
      <c r="G14" s="4">
        <f>B14*($B$6+$B$7)</f>
        <v/>
      </c>
      <c r="H14" s="7">
        <f>B14-C14-D14-E14-F14-G14</f>
        <v/>
      </c>
      <c r="I14" s="8">
        <f>IF(B14=0,"",H14/B14)</f>
        <v/>
      </c>
    </row>
  </sheetData>
  <conditionalFormatting sqref="H11:H14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2026-07-07T14:35:22Z</dcterms:created>
  <dcterms:modified xsi:type="dcterms:W3CDTF">2026-07-07T14:35:22Z</dcterms:modified>
</cp:coreProperties>
</file>