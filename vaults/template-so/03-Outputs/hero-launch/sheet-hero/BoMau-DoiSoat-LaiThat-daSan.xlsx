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Hướng dẫn" sheetId="1" state="visible" r:id="rId1"/>
    <sheet name="1. Cấu hình phí" sheetId="2" state="visible" r:id="rId2"/>
    <sheet name="2. Nhập đơn" sheetId="3" state="visible" r:id="rId3"/>
    <sheet name="3. Đối soát" sheetId="4" state="visible" r:id="rId4"/>
    <sheet name="4. Lãi thật" sheetId="5" state="visible" r:id="rId5"/>
    <sheet name="5. 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2563EB"/>
      <sz val="15"/>
    </font>
    <font>
      <b val="1"/>
      <color rgb="000F172A"/>
    </font>
    <font>
      <i val="1"/>
      <color rgb="0064748B"/>
      <sz val="10"/>
    </font>
    <font>
      <b val="1"/>
      <color rgb="00FFFFFF"/>
      <sz val="10"/>
    </font>
    <font>
      <b val="1"/>
    </font>
    <font>
      <b val="1"/>
      <color rgb="002563EB"/>
      <sz val="12"/>
    </font>
    <font>
      <i val="1"/>
      <color rgb="0064748B"/>
      <sz val="9"/>
    </font>
  </fonts>
  <fills count="4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0" fontId="0" fillId="0" borderId="1" applyAlignment="1" pivotButton="0" quotePrefix="0" xfId="0">
      <alignment horizontal="center"/>
    </xf>
    <xf numFmtId="3" fontId="0" fillId="3" borderId="1" pivotButton="0" quotePrefix="0" xfId="0"/>
    <xf numFmtId="0" fontId="2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ont>
        <b val="1"/>
        <color rgb="00B91C1C"/>
      </font>
      <fill>
        <patternFill patternType="solid">
          <fgColor rgb="00FEE2E2"/>
        </patternFill>
      </fill>
    </dxf>
    <dxf>
      <font>
        <b val="1"/>
        <color rgb="00047857"/>
      </font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BỘMẪU — Bộ Sheet Đối-soát &amp; Tính LÃI THẬT đa-sàn (TikTok Shop + Shopee)</t>
        </is>
      </c>
    </row>
    <row r="3">
      <c r="A3" t="inlineStr"/>
    </row>
    <row r="4">
      <c r="A4" s="2" t="inlineStr">
        <is>
          <t>CÁCH DÙNG (mở-là-chạy):</t>
        </is>
      </c>
    </row>
    <row r="5">
      <c r="A5" t="inlineStr">
        <is>
          <t>1) Vào tab '1. Cấu hình phí' → sửa % phí theo đúng Kênh Người Bán THẬT của bạn (số đang điền là benchmark 2026, cần bạn xác minh).</t>
        </is>
      </c>
    </row>
    <row r="6">
      <c r="A6" t="inlineStr">
        <is>
          <t>2) Vào tab '2. Nhập đơn' → dán/nhập đơn từ TikTok Shop &amp; Shopee (cột Kênh chọn từ danh sách).</t>
        </is>
      </c>
    </row>
    <row r="7">
      <c r="A7" t="inlineStr">
        <is>
          <t>3) Xem tab '4. Lãi thật' → tự ra lãi/lỗ + biên% TỪNG đơn. Tab '5. Dashboard' → tổng theo kênh/SKU.</t>
        </is>
      </c>
    </row>
    <row r="8">
      <c r="A8" t="inlineStr">
        <is>
          <t>4) Tab '3. Đối soát' → nhập 'tiền sàn thực nhận' để phát hiện lệch tiền về.</t>
        </is>
      </c>
    </row>
    <row r="9">
      <c r="A9" t="inlineStr"/>
    </row>
    <row r="10">
      <c r="A10" s="2" t="inlineStr">
        <is>
          <t>GHI CHÚ QUAN TRỌNG (grounding):</t>
        </is>
      </c>
    </row>
    <row r="11">
      <c r="A11" t="inlineStr">
        <is>
          <t>• Mọi % phí sàn là [benchmark 2026 — cần bạn xác minh theo tài khoản &amp; ngành hàng thật].</t>
        </is>
      </c>
    </row>
    <row r="12">
      <c r="A12" t="inlineStr">
        <is>
          <t>• Thuế khoán mặc định = GTGT 1% + TNCN 0,5% = 1,5% (nhóm PHÂN PHỐI HÀNG HÓA, TT40/2021). KHÔNG phải 5%+2% (đó là dịch vụ).</t>
        </is>
      </c>
    </row>
    <row r="13">
      <c r="A13" t="inlineStr">
        <is>
          <t xml:space="preserve">   → MẪU tham khảo, cần kế toán rà; lộ trình thuế hộ KD 2026 đang thay đổi.</t>
        </is>
      </c>
    </row>
    <row r="14">
      <c r="A14" t="inlineStr">
        <is>
          <t>• Số liệu đơn hàng trong file là VÍ DỤ MINH HỌA — xoá và nhập số thật của bạn.</t>
        </is>
      </c>
    </row>
    <row r="15">
      <c r="A15" t="inlineStr">
        <is>
          <t>• Bản-quyền: file chỉ dùng hàm/định dạng bảng tính chuẩn — không chứa asset bên thứ ba.</t>
        </is>
      </c>
    </row>
    <row r="16">
      <c r="A16" t="inlineStr"/>
    </row>
    <row r="17">
      <c r="A17" t="inlineStr">
        <is>
          <t>Bản này = ĐẦY ĐỦ ĐA-SÀN (5 tab). Bản FREE chỉ có 1 sàn + 2 tab (không đối-soát/dashboard).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1" t="inlineStr">
        <is>
          <t>Cấu hình phí sàn &amp; thuế</t>
        </is>
      </c>
    </row>
    <row r="2">
      <c r="A2" s="3" t="inlineStr">
        <is>
          <t>Sửa số theo tài khoản THẬT của bạn. % phí = benchmark 2026 cần xác minh.</t>
        </is>
      </c>
    </row>
    <row r="3">
      <c r="A3" s="4" t="inlineStr">
        <is>
          <t>Kênh (Mã tra cứu)</t>
        </is>
      </c>
      <c r="B3" s="4" t="inlineStr">
        <is>
          <t>Sàn</t>
        </is>
      </c>
      <c r="C3" s="4" t="inlineStr">
        <is>
          <t>Loại người bán</t>
        </is>
      </c>
      <c r="D3" s="4" t="inlineStr">
        <is>
          <t>Hoa hồng %</t>
        </is>
      </c>
      <c r="E3" s="4" t="inlineStr">
        <is>
          <t>Phí giao dịch %</t>
        </is>
      </c>
      <c r="F3" s="4" t="inlineStr">
        <is>
          <t>Phí DV cơ bản %</t>
        </is>
      </c>
      <c r="G3" s="4" t="inlineStr">
        <is>
          <t>Freeship Xtra %</t>
        </is>
      </c>
      <c r="H3" s="4" t="inlineStr">
        <is>
          <t>Voucher Xtra %</t>
        </is>
      </c>
      <c r="I3" s="4" t="inlineStr">
        <is>
          <t>Phí xử lý đơn (VND)</t>
        </is>
      </c>
    </row>
    <row r="4">
      <c r="A4" s="5" t="inlineStr">
        <is>
          <t>TikTok Shop - Thường</t>
        </is>
      </c>
      <c r="B4" s="5" t="inlineStr">
        <is>
          <t>TikTok Shop</t>
        </is>
      </c>
      <c r="C4" s="5" t="inlineStr">
        <is>
          <t>Thường (Marketplace)</t>
        </is>
      </c>
      <c r="D4" s="6" t="n">
        <v>0.125</v>
      </c>
      <c r="E4" s="6" t="n">
        <v>0.06</v>
      </c>
      <c r="F4" s="6" t="n">
        <v>0</v>
      </c>
      <c r="G4" s="6" t="n">
        <v>0</v>
      </c>
      <c r="H4" s="6" t="n">
        <v>0</v>
      </c>
      <c r="I4" s="7" t="n">
        <v>3000</v>
      </c>
    </row>
    <row r="5">
      <c r="A5" s="5" t="inlineStr">
        <is>
          <t>TikTok Shop - Mall</t>
        </is>
      </c>
      <c r="B5" s="5" t="inlineStr">
        <is>
          <t>TikTok Shop</t>
        </is>
      </c>
      <c r="C5" s="5" t="inlineStr">
        <is>
          <t>Mall</t>
        </is>
      </c>
      <c r="D5" s="6" t="n">
        <v>0.155</v>
      </c>
      <c r="E5" s="6" t="n">
        <v>0.06</v>
      </c>
      <c r="F5" s="6" t="n">
        <v>0</v>
      </c>
      <c r="G5" s="6" t="n">
        <v>0</v>
      </c>
      <c r="H5" s="6" t="n">
        <v>0</v>
      </c>
      <c r="I5" s="7" t="n">
        <v>3000</v>
      </c>
    </row>
    <row r="6">
      <c r="A6" s="5" t="inlineStr">
        <is>
          <t>Shopee - Thường</t>
        </is>
      </c>
      <c r="B6" s="5" t="inlineStr">
        <is>
          <t>Shopee</t>
        </is>
      </c>
      <c r="C6" s="5" t="inlineStr">
        <is>
          <t>Thường</t>
        </is>
      </c>
      <c r="D6" s="6" t="n">
        <v>0.08</v>
      </c>
      <c r="E6" s="6" t="n">
        <v>0.05</v>
      </c>
      <c r="F6" s="6" t="n">
        <v>0.02</v>
      </c>
      <c r="G6" s="6" t="n">
        <v>0</v>
      </c>
      <c r="H6" s="6" t="n">
        <v>0</v>
      </c>
      <c r="I6" s="7" t="n">
        <v>0</v>
      </c>
    </row>
    <row r="7">
      <c r="A7" s="5" t="inlineStr">
        <is>
          <t>Shopee - Mall</t>
        </is>
      </c>
      <c r="B7" s="5" t="inlineStr">
        <is>
          <t>Shopee</t>
        </is>
      </c>
      <c r="C7" s="5" t="inlineStr">
        <is>
          <t>Shopee Mall</t>
        </is>
      </c>
      <c r="D7" s="6" t="n">
        <v>0.1</v>
      </c>
      <c r="E7" s="6" t="n">
        <v>0.05</v>
      </c>
      <c r="F7" s="6" t="n">
        <v>0.02</v>
      </c>
      <c r="G7" s="6" t="n">
        <v>0</v>
      </c>
      <c r="H7" s="6" t="n">
        <v>0</v>
      </c>
      <c r="I7" s="7" t="n">
        <v>0</v>
      </c>
    </row>
    <row r="10">
      <c r="A10" s="2" t="inlineStr">
        <is>
          <t>THAM SỐ CHUNG (thuế / COD)</t>
        </is>
      </c>
    </row>
    <row r="11">
      <c r="A11" s="5" t="inlineStr">
        <is>
          <t>Phí COD (% giá trị COD, nếu ĐVVC thu)</t>
        </is>
      </c>
      <c r="B11" s="8" t="n">
        <v>0</v>
      </c>
    </row>
    <row r="12">
      <c r="A12" s="5" t="inlineStr">
        <is>
          <t>Thuế GTGT khoán (hàng hóa)</t>
        </is>
      </c>
      <c r="B12" s="8" t="n">
        <v>0.01</v>
      </c>
    </row>
    <row r="13">
      <c r="A13" s="5" t="inlineStr">
        <is>
          <t>Thuế TNCN khoán (hàng hóa)</t>
        </is>
      </c>
      <c r="B13" s="8" t="n">
        <v>0.005</v>
      </c>
    </row>
    <row r="14">
      <c r="A14" s="5" t="inlineStr">
        <is>
          <t>Tổng thuế khoán</t>
        </is>
      </c>
      <c r="B14" s="8">
        <f>B12+B13</f>
        <v/>
      </c>
    </row>
    <row r="15">
      <c r="A15" s="5" t="inlineStr">
        <is>
          <t>Ngưỡng miễn thuế/năm (cần kế toán xác minh)</t>
        </is>
      </c>
      <c r="B15" s="9" t="n">
        <v>1000000000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6" customWidth="1" min="5" max="5"/>
    <col width="13" customWidth="1" min="6" max="6"/>
    <col width="13" customWidth="1" min="7" max="7"/>
    <col width="15" customWidth="1" min="8" max="8"/>
    <col width="8" customWidth="1" min="9" max="9"/>
    <col width="14" customWidth="1" min="10" max="10"/>
    <col width="16" customWidth="1" min="11" max="11"/>
  </cols>
  <sheetData>
    <row r="1">
      <c r="A1" s="1" t="inlineStr">
        <is>
          <t>Nhập đơn (TikTok Shop + Shopee)</t>
        </is>
      </c>
    </row>
    <row r="2">
      <c r="A2" s="3" t="inlineStr">
        <is>
          <t>Nhập/dán đơn của bạn. Cột Kênh &amp; COD chọn từ danh sách.</t>
        </is>
      </c>
    </row>
    <row r="3">
      <c r="A3" s="4" t="inlineStr">
        <is>
          <t>Mã đơn</t>
        </is>
      </c>
      <c r="B3" s="4" t="inlineStr">
        <is>
          <t>Ngày</t>
        </is>
      </c>
      <c r="C3" s="4" t="inlineStr">
        <is>
          <t>Kênh</t>
        </is>
      </c>
      <c r="D3" s="4" t="inlineStr">
        <is>
          <t>SKU / Sản phẩm</t>
        </is>
      </c>
      <c r="E3" s="4" t="inlineStr">
        <is>
          <t>SL</t>
        </is>
      </c>
      <c r="F3" s="4" t="inlineStr">
        <is>
          <t>Giá bán</t>
        </is>
      </c>
      <c r="G3" s="4" t="inlineStr">
        <is>
          <t>Giá vốn/SP</t>
        </is>
      </c>
      <c r="H3" s="4" t="inlineStr">
        <is>
          <t>Phí ship thu khách</t>
        </is>
      </c>
      <c r="I3" s="4" t="inlineStr">
        <is>
          <t>COD</t>
        </is>
      </c>
      <c r="J3" s="4" t="inlineStr">
        <is>
          <t>Giảm giá (VND)</t>
        </is>
      </c>
      <c r="K3" s="4" t="inlineStr">
        <is>
          <t>Ads phân bổ (VND)</t>
        </is>
      </c>
    </row>
    <row r="4">
      <c r="A4" s="5" t="inlineStr">
        <is>
          <t>DH001</t>
        </is>
      </c>
      <c r="B4" s="5" t="inlineStr">
        <is>
          <t>01/07/2026</t>
        </is>
      </c>
      <c r="C4" s="5" t="inlineStr">
        <is>
          <t>TikTok Shop - Thường</t>
        </is>
      </c>
      <c r="D4" s="5" t="inlineStr">
        <is>
          <t>AO-THUN-DEN-M</t>
        </is>
      </c>
      <c r="E4" s="10" t="n">
        <v>2</v>
      </c>
      <c r="F4" s="7" t="n">
        <v>150000</v>
      </c>
      <c r="G4" s="7" t="n">
        <v>60000</v>
      </c>
      <c r="H4" s="7" t="n">
        <v>0</v>
      </c>
      <c r="I4" s="5" t="inlineStr">
        <is>
          <t>Không</t>
        </is>
      </c>
      <c r="J4" s="7" t="n">
        <v>10000</v>
      </c>
      <c r="K4" s="7" t="n">
        <v>15000</v>
      </c>
    </row>
    <row r="5">
      <c r="A5" s="5" t="inlineStr">
        <is>
          <t>DH002</t>
        </is>
      </c>
      <c r="B5" s="5" t="inlineStr">
        <is>
          <t>01/07/2026</t>
        </is>
      </c>
      <c r="C5" s="5" t="inlineStr">
        <is>
          <t>Shopee - Thường</t>
        </is>
      </c>
      <c r="D5" s="5" t="inlineStr">
        <is>
          <t>QUAN-JEAN-29</t>
        </is>
      </c>
      <c r="E5" s="10" t="n">
        <v>1</v>
      </c>
      <c r="F5" s="7" t="n">
        <v>320000</v>
      </c>
      <c r="G5" s="7" t="n">
        <v>140000</v>
      </c>
      <c r="H5" s="7" t="n">
        <v>0</v>
      </c>
      <c r="I5" s="5" t="inlineStr">
        <is>
          <t>Có</t>
        </is>
      </c>
      <c r="J5" s="7" t="n">
        <v>0</v>
      </c>
      <c r="K5" s="7" t="n">
        <v>25000</v>
      </c>
    </row>
    <row r="6">
      <c r="A6" s="5" t="inlineStr">
        <is>
          <t>DH003</t>
        </is>
      </c>
      <c r="B6" s="5" t="inlineStr">
        <is>
          <t>02/07/2026</t>
        </is>
      </c>
      <c r="C6" s="5" t="inlineStr">
        <is>
          <t>TikTok Shop - Thường</t>
        </is>
      </c>
      <c r="D6" s="5" t="inlineStr">
        <is>
          <t>VAY-HOA-S</t>
        </is>
      </c>
      <c r="E6" s="10" t="n">
        <v>1</v>
      </c>
      <c r="F6" s="7" t="n">
        <v>219000</v>
      </c>
      <c r="G6" s="7" t="n">
        <v>85000</v>
      </c>
      <c r="H6" s="7" t="n">
        <v>20000</v>
      </c>
      <c r="I6" s="5" t="inlineStr">
        <is>
          <t>Không</t>
        </is>
      </c>
      <c r="J6" s="7" t="n">
        <v>15000</v>
      </c>
      <c r="K6" s="7" t="n">
        <v>30000</v>
      </c>
    </row>
    <row r="7">
      <c r="A7" s="5" t="inlineStr">
        <is>
          <t>DH004</t>
        </is>
      </c>
      <c r="B7" s="5" t="inlineStr">
        <is>
          <t>02/07/2026</t>
        </is>
      </c>
      <c r="C7" s="5" t="inlineStr">
        <is>
          <t>Shopee - Thường</t>
        </is>
      </c>
      <c r="D7" s="5" t="inlineStr">
        <is>
          <t>AO-THUN-DEN-M</t>
        </is>
      </c>
      <c r="E7" s="10" t="n">
        <v>3</v>
      </c>
      <c r="F7" s="7" t="n">
        <v>145000</v>
      </c>
      <c r="G7" s="7" t="n">
        <v>60000</v>
      </c>
      <c r="H7" s="7" t="n">
        <v>0</v>
      </c>
      <c r="I7" s="5" t="inlineStr">
        <is>
          <t>Không</t>
        </is>
      </c>
      <c r="J7" s="7" t="n">
        <v>0</v>
      </c>
      <c r="K7" s="7" t="n">
        <v>12000</v>
      </c>
    </row>
    <row r="8">
      <c r="A8" s="5" t="inlineStr">
        <is>
          <t>DH005</t>
        </is>
      </c>
      <c r="B8" s="5" t="inlineStr">
        <is>
          <t>03/07/2026</t>
        </is>
      </c>
      <c r="C8" s="5" t="inlineStr">
        <is>
          <t>Shopee - Thường</t>
        </is>
      </c>
      <c r="D8" s="5" t="inlineStr">
        <is>
          <t>GIAY-SNEAKER-40</t>
        </is>
      </c>
      <c r="E8" s="10" t="n">
        <v>1</v>
      </c>
      <c r="F8" s="7" t="n">
        <v>450000</v>
      </c>
      <c r="G8" s="7" t="n">
        <v>250000</v>
      </c>
      <c r="H8" s="7" t="n">
        <v>0</v>
      </c>
      <c r="I8" s="5" t="inlineStr">
        <is>
          <t>Có</t>
        </is>
      </c>
      <c r="J8" s="7" t="n">
        <v>30000</v>
      </c>
      <c r="K8" s="7" t="n">
        <v>40000</v>
      </c>
    </row>
    <row r="9">
      <c r="A9" s="5" t="inlineStr">
        <is>
          <t>DH006</t>
        </is>
      </c>
      <c r="B9" s="5" t="inlineStr">
        <is>
          <t>03/07/2026</t>
        </is>
      </c>
      <c r="C9" s="5" t="inlineStr">
        <is>
          <t>TikTok Shop - Thường</t>
        </is>
      </c>
      <c r="D9" s="5" t="inlineStr">
        <is>
          <t>QUAN-JEAN-29</t>
        </is>
      </c>
      <c r="E9" s="10" t="n">
        <v>1</v>
      </c>
      <c r="F9" s="7" t="n">
        <v>299000</v>
      </c>
      <c r="G9" s="7" t="n">
        <v>140000</v>
      </c>
      <c r="H9" s="7" t="n">
        <v>0</v>
      </c>
      <c r="I9" s="5" t="inlineStr">
        <is>
          <t>Không</t>
        </is>
      </c>
      <c r="J9" s="7" t="n">
        <v>0</v>
      </c>
      <c r="K9" s="7" t="n">
        <v>20000</v>
      </c>
    </row>
    <row r="10">
      <c r="A10" s="5" t="inlineStr">
        <is>
          <t>DH007</t>
        </is>
      </c>
      <c r="B10" s="5" t="inlineStr">
        <is>
          <t>04/07/2026</t>
        </is>
      </c>
      <c r="C10" s="5" t="inlineStr">
        <is>
          <t>TikTok Shop - Thường</t>
        </is>
      </c>
      <c r="D10" s="5" t="inlineStr">
        <is>
          <t>AO-THUN-DEN-M</t>
        </is>
      </c>
      <c r="E10" s="10" t="n">
        <v>1</v>
      </c>
      <c r="F10" s="7" t="n">
        <v>150000</v>
      </c>
      <c r="G10" s="7" t="n">
        <v>60000</v>
      </c>
      <c r="H10" s="7" t="n">
        <v>0</v>
      </c>
      <c r="I10" s="5" t="inlineStr">
        <is>
          <t>Có</t>
        </is>
      </c>
      <c r="J10" s="7" t="n">
        <v>5000</v>
      </c>
      <c r="K10" s="7" t="n">
        <v>10000</v>
      </c>
    </row>
    <row r="11">
      <c r="A11" s="5" t="inlineStr">
        <is>
          <t>DH008</t>
        </is>
      </c>
      <c r="B11" s="5" t="inlineStr">
        <is>
          <t>04/07/2026</t>
        </is>
      </c>
      <c r="C11" s="5" t="inlineStr">
        <is>
          <t>Shopee - Thường</t>
        </is>
      </c>
      <c r="D11" s="5" t="inlineStr">
        <is>
          <t>VAY-HOA-S</t>
        </is>
      </c>
      <c r="E11" s="10" t="n">
        <v>2</v>
      </c>
      <c r="F11" s="7" t="n">
        <v>219000</v>
      </c>
      <c r="G11" s="7" t="n">
        <v>85000</v>
      </c>
      <c r="H11" s="7" t="n">
        <v>0</v>
      </c>
      <c r="I11" s="5" t="inlineStr">
        <is>
          <t>Không</t>
        </is>
      </c>
      <c r="J11" s="7" t="n">
        <v>10000</v>
      </c>
      <c r="K11" s="7" t="n">
        <v>18000</v>
      </c>
    </row>
  </sheetData>
  <dataValidations count="2">
    <dataValidation sqref="C4:C200" showDropDown="0" showInputMessage="0" showErrorMessage="0" allowBlank="1" type="list">
      <formula1>'1. Cấu hình phí'!$A$4:$A$7</formula1>
    </dataValidation>
    <dataValidation sqref="I4:I200" showDropDown="0" showInputMessage="0" showErrorMessage="0" allowBlank="1" type="list">
      <formula1>"Có,Không"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26" customWidth="1" min="4" max="4"/>
    <col width="14" customWidth="1" min="5" max="5"/>
    <col width="14" customWidth="1" min="6" max="6"/>
  </cols>
  <sheetData>
    <row r="1">
      <c r="A1" s="1" t="inlineStr">
        <is>
          <t>Đối soát tiền sàn</t>
        </is>
      </c>
    </row>
    <row r="2">
      <c r="A2" s="3" t="inlineStr">
        <is>
          <t>Nhập 'Tiền sàn THỰC nhận' (cột D) từ báo cáo/đối-soát sàn → phát hiện lệch.</t>
        </is>
      </c>
    </row>
    <row r="3">
      <c r="A3" s="4" t="inlineStr">
        <is>
          <t>Mã đơn</t>
        </is>
      </c>
      <c r="B3" s="4" t="inlineStr">
        <is>
          <t>Kênh</t>
        </is>
      </c>
      <c r="C3" s="4" t="inlineStr">
        <is>
          <t>Tiền sàn 'lẽ ra' trả (lý thuyết)</t>
        </is>
      </c>
      <c r="D3" s="4" t="inlineStr">
        <is>
          <t>Tiền sàn THỰC nhận (nhập tay)</t>
        </is>
      </c>
      <c r="E3" s="4" t="inlineStr">
        <is>
          <t>Chênh lệch</t>
        </is>
      </c>
      <c r="F3" s="4" t="inlineStr">
        <is>
          <t>Cờ</t>
        </is>
      </c>
    </row>
    <row r="4">
      <c r="A4" s="5">
        <f>'4. Lãi thật'!A4</f>
        <v/>
      </c>
      <c r="B4" s="5">
        <f>'4. Lãi thật'!B4</f>
        <v/>
      </c>
      <c r="C4" s="7">
        <f>'4. Lãi thật'!C4-('4. Lãi thật'!D4+'4. Lãi thật'!E4+'4. Lãi thật'!F4+'4. Lãi thật'!G4+'4. Lãi thật'!H4+'4. Lãi thật'!I4)</f>
        <v/>
      </c>
      <c r="D4" s="11" t="n">
        <v>228650</v>
      </c>
      <c r="E4" s="7">
        <f>IF(D4="","",D4-C4)</f>
        <v/>
      </c>
      <c r="F4" s="5">
        <f>IF(D4="","(chưa nhập)",IF(ABS(D4-C4)&lt;1000,"✓ Khớp","⚠ LỆCH"))</f>
        <v/>
      </c>
    </row>
    <row r="5">
      <c r="A5" s="5">
        <f>'4. Lãi thật'!A5</f>
        <v/>
      </c>
      <c r="B5" s="5">
        <f>'4. Lãi thật'!B5</f>
        <v/>
      </c>
      <c r="C5" s="7">
        <f>'4. Lãi thật'!C5-('4. Lãi thật'!D5+'4. Lãi thật'!E5+'4. Lãi thật'!F5+'4. Lãi thật'!G5+'4. Lãi thật'!H5+'4. Lãi thật'!I5)</f>
        <v/>
      </c>
      <c r="D5" s="11" t="n"/>
      <c r="E5" s="7">
        <f>IF(D5="","",D5-C5)</f>
        <v/>
      </c>
      <c r="F5" s="5">
        <f>IF(D5="","(chưa nhập)",IF(ABS(D5-C5)&lt;1000,"✓ Khớp","⚠ LỆCH"))</f>
        <v/>
      </c>
    </row>
    <row r="6">
      <c r="A6" s="5">
        <f>'4. Lãi thật'!A6</f>
        <v/>
      </c>
      <c r="B6" s="5">
        <f>'4. Lãi thật'!B6</f>
        <v/>
      </c>
      <c r="C6" s="7">
        <f>'4. Lãi thật'!C6-('4. Lãi thật'!D6+'4. Lãi thật'!E6+'4. Lãi thật'!F6+'4. Lãi thật'!G6+'4. Lãi thật'!H6+'4. Lãi thật'!I6)</f>
        <v/>
      </c>
      <c r="D6" s="11" t="n"/>
      <c r="E6" s="7">
        <f>IF(D6="","",D6-C6)</f>
        <v/>
      </c>
      <c r="F6" s="5">
        <f>IF(D6="","(chưa nhập)",IF(ABS(D6-C6)&lt;1000,"✓ Khớp","⚠ LỆCH"))</f>
        <v/>
      </c>
    </row>
    <row r="7">
      <c r="A7" s="5">
        <f>'4. Lãi thật'!A7</f>
        <v/>
      </c>
      <c r="B7" s="5">
        <f>'4. Lãi thật'!B7</f>
        <v/>
      </c>
      <c r="C7" s="7">
        <f>'4. Lãi thật'!C7-('4. Lãi thật'!D7+'4. Lãi thật'!E7+'4. Lãi thật'!F7+'4. Lãi thật'!G7+'4. Lãi thật'!H7+'4. Lãi thật'!I7)</f>
        <v/>
      </c>
      <c r="D7" s="11" t="n"/>
      <c r="E7" s="7">
        <f>IF(D7="","",D7-C7)</f>
        <v/>
      </c>
      <c r="F7" s="5">
        <f>IF(D7="","(chưa nhập)",IF(ABS(D7-C7)&lt;1000,"✓ Khớp","⚠ LỆCH"))</f>
        <v/>
      </c>
    </row>
    <row r="8">
      <c r="A8" s="5">
        <f>'4. Lãi thật'!A8</f>
        <v/>
      </c>
      <c r="B8" s="5">
        <f>'4. Lãi thật'!B8</f>
        <v/>
      </c>
      <c r="C8" s="7">
        <f>'4. Lãi thật'!C8-('4. Lãi thật'!D8+'4. Lãi thật'!E8+'4. Lãi thật'!F8+'4. Lãi thật'!G8+'4. Lãi thật'!H8+'4. Lãi thật'!I8)</f>
        <v/>
      </c>
      <c r="D8" s="11" t="n"/>
      <c r="E8" s="7">
        <f>IF(D8="","",D8-C8)</f>
        <v/>
      </c>
      <c r="F8" s="5">
        <f>IF(D8="","(chưa nhập)",IF(ABS(D8-C8)&lt;1000,"✓ Khớp","⚠ LỆCH"))</f>
        <v/>
      </c>
    </row>
    <row r="9">
      <c r="A9" s="5">
        <f>'4. Lãi thật'!A9</f>
        <v/>
      </c>
      <c r="B9" s="5">
        <f>'4. Lãi thật'!B9</f>
        <v/>
      </c>
      <c r="C9" s="7">
        <f>'4. Lãi thật'!C9-('4. Lãi thật'!D9+'4. Lãi thật'!E9+'4. Lãi thật'!F9+'4. Lãi thật'!G9+'4. Lãi thật'!H9+'4. Lãi thật'!I9)</f>
        <v/>
      </c>
      <c r="D9" s="11" t="n"/>
      <c r="E9" s="7">
        <f>IF(D9="","",D9-C9)</f>
        <v/>
      </c>
      <c r="F9" s="5">
        <f>IF(D9="","(chưa nhập)",IF(ABS(D9-C9)&lt;1000,"✓ Khớp","⚠ LỆCH"))</f>
        <v/>
      </c>
    </row>
    <row r="10">
      <c r="A10" s="5">
        <f>'4. Lãi thật'!A10</f>
        <v/>
      </c>
      <c r="B10" s="5">
        <f>'4. Lãi thật'!B10</f>
        <v/>
      </c>
      <c r="C10" s="7">
        <f>'4. Lãi thật'!C10-('4. Lãi thật'!D10+'4. Lãi thật'!E10+'4. Lãi thật'!F10+'4. Lãi thật'!G10+'4. Lãi thật'!H10+'4. Lãi thật'!I10)</f>
        <v/>
      </c>
      <c r="D10" s="11" t="n"/>
      <c r="E10" s="7">
        <f>IF(D10="","",D10-C10)</f>
        <v/>
      </c>
      <c r="F10" s="5">
        <f>IF(D10="","(chưa nhập)",IF(ABS(D10-C10)&lt;1000,"✓ Khớp","⚠ LỆCH"))</f>
        <v/>
      </c>
    </row>
    <row r="11">
      <c r="A11" s="5">
        <f>'4. Lãi thật'!A11</f>
        <v/>
      </c>
      <c r="B11" s="5">
        <f>'4. Lãi thật'!B11</f>
        <v/>
      </c>
      <c r="C11" s="7">
        <f>'4. Lãi thật'!C11-('4. Lãi thật'!D11+'4. Lãi thật'!E11+'4. Lãi thật'!F11+'4. Lãi thật'!G11+'4. Lãi thật'!H11+'4. Lãi thật'!I11)</f>
        <v/>
      </c>
      <c r="D11" s="11" t="n"/>
      <c r="E11" s="7">
        <f>IF(D11="","",D11-C11)</f>
        <v/>
      </c>
      <c r="F11" s="5">
        <f>IF(D11="","(chưa nhập)",IF(ABS(D11-C11)&lt;1000,"✓ Khớp","⚠ LỆCH"))</f>
        <v/>
      </c>
    </row>
  </sheetData>
  <conditionalFormatting sqref="F4:F11">
    <cfRule type="cellIs" priority="1" operator="equal" dxfId="0">
      <formula>"⚠ LỆCH"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1" customWidth="1" min="4" max="4"/>
    <col width="10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1" customWidth="1" min="11" max="11"/>
    <col width="11" customWidth="1" min="12" max="12"/>
    <col width="12" customWidth="1" min="13" max="13"/>
    <col width="13" customWidth="1" min="14" max="14"/>
    <col width="9" customWidth="1" min="15" max="15"/>
  </cols>
  <sheetData>
    <row r="1">
      <c r="A1" s="1" t="inlineStr">
        <is>
          <t>LÃI THẬT / đơn</t>
        </is>
      </c>
    </row>
    <row r="2">
      <c r="A2" s="3" t="inlineStr">
        <is>
          <t>Tự tính — không cần nhập gì. Kéo công thức xuống nếu thêm đơn ở tab Nhập đơn.</t>
        </is>
      </c>
    </row>
    <row r="3">
      <c r="A3" s="4" t="inlineStr">
        <is>
          <t>Mã đơn</t>
        </is>
      </c>
      <c r="B3" s="4" t="inlineStr">
        <is>
          <t>Kênh</t>
        </is>
      </c>
      <c r="C3" s="4" t="inlineStr">
        <is>
          <t>Doanh thu</t>
        </is>
      </c>
      <c r="D3" s="4" t="inlineStr">
        <is>
          <t>Hoa hồng</t>
        </is>
      </c>
      <c r="E3" s="4" t="inlineStr">
        <is>
          <t>Phí GD</t>
        </is>
      </c>
      <c r="F3" s="4" t="inlineStr">
        <is>
          <t>Phí DV</t>
        </is>
      </c>
      <c r="G3" s="4" t="inlineStr">
        <is>
          <t>Freeship</t>
        </is>
      </c>
      <c r="H3" s="4" t="inlineStr">
        <is>
          <t>Voucher</t>
        </is>
      </c>
      <c r="I3" s="4" t="inlineStr">
        <is>
          <t>Phí xử lý</t>
        </is>
      </c>
      <c r="J3" s="4" t="inlineStr">
        <is>
          <t>Phí COD</t>
        </is>
      </c>
      <c r="K3" s="4" t="inlineStr">
        <is>
          <t>Giá vốn</t>
        </is>
      </c>
      <c r="L3" s="4" t="inlineStr">
        <is>
          <t>Ads</t>
        </is>
      </c>
      <c r="M3" s="4" t="inlineStr">
        <is>
          <t>Thuế khoán</t>
        </is>
      </c>
      <c r="N3" s="4" t="inlineStr">
        <is>
          <t>LÃI THẬT</t>
        </is>
      </c>
      <c r="O3" s="4" t="inlineStr">
        <is>
          <t>Biên %</t>
        </is>
      </c>
    </row>
    <row r="4">
      <c r="A4" s="5">
        <f>'2. Nhập đơn'!A4</f>
        <v/>
      </c>
      <c r="B4" s="5">
        <f>'2. Nhập đơn'!C4</f>
        <v/>
      </c>
      <c r="C4" s="7">
        <f>'2. Nhập đơn'!E4*'2. Nhập đơn'!F4-'2. Nhập đơn'!J4</f>
        <v/>
      </c>
      <c r="D4" s="7">
        <f>C4*VLOOKUP(B4,'1. Cấu hình phí'!$A$4:$I$7,4,FALSE)</f>
        <v/>
      </c>
      <c r="E4" s="7">
        <f>C4*VLOOKUP(B4,'1. Cấu hình phí'!$A$4:$I$7,5,FALSE)</f>
        <v/>
      </c>
      <c r="F4" s="7">
        <f>C4*VLOOKUP(B4,'1. Cấu hình phí'!$A$4:$I$7,6,FALSE)</f>
        <v/>
      </c>
      <c r="G4" s="7">
        <f>C4*VLOOKUP(B4,'1. Cấu hình phí'!$A$4:$I$7,7,FALSE)</f>
        <v/>
      </c>
      <c r="H4" s="7">
        <f>C4*VLOOKUP(B4,'1. Cấu hình phí'!$A$4:$I$7,8,FALSE)</f>
        <v/>
      </c>
      <c r="I4" s="7">
        <f>VLOOKUP(B4,'1. Cấu hình phí'!$A$4:$I$7,9,FALSE)</f>
        <v/>
      </c>
      <c r="J4" s="7">
        <f>IF('2. Nhập đơn'!I4="Có",C4*'1. Cấu hình phí'!$B$11,0)</f>
        <v/>
      </c>
      <c r="K4" s="7">
        <f>'2. Nhập đơn'!E4*'2. Nhập đơn'!G4</f>
        <v/>
      </c>
      <c r="L4" s="7">
        <f>'2. Nhập đơn'!K4</f>
        <v/>
      </c>
      <c r="M4" s="7">
        <f>C4*('1. Cấu hình phí'!$B$12+'1. Cấu hình phí'!$B$13)</f>
        <v/>
      </c>
      <c r="N4" s="9">
        <f>C4-D4-E4-F4-G4-H4-I4-J4-K4-L4-M4</f>
        <v/>
      </c>
      <c r="O4" s="6">
        <f>IF(C4=0,"",N4/C4)</f>
        <v/>
      </c>
    </row>
    <row r="5">
      <c r="A5" s="5">
        <f>'2. Nhập đơn'!A5</f>
        <v/>
      </c>
      <c r="B5" s="5">
        <f>'2. Nhập đơn'!C5</f>
        <v/>
      </c>
      <c r="C5" s="7">
        <f>'2. Nhập đơn'!E5*'2. Nhập đơn'!F5-'2. Nhập đơn'!J5</f>
        <v/>
      </c>
      <c r="D5" s="7">
        <f>C5*VLOOKUP(B5,'1. Cấu hình phí'!$A$4:$I$7,4,FALSE)</f>
        <v/>
      </c>
      <c r="E5" s="7">
        <f>C5*VLOOKUP(B5,'1. Cấu hình phí'!$A$4:$I$7,5,FALSE)</f>
        <v/>
      </c>
      <c r="F5" s="7">
        <f>C5*VLOOKUP(B5,'1. Cấu hình phí'!$A$4:$I$7,6,FALSE)</f>
        <v/>
      </c>
      <c r="G5" s="7">
        <f>C5*VLOOKUP(B5,'1. Cấu hình phí'!$A$4:$I$7,7,FALSE)</f>
        <v/>
      </c>
      <c r="H5" s="7">
        <f>C5*VLOOKUP(B5,'1. Cấu hình phí'!$A$4:$I$7,8,FALSE)</f>
        <v/>
      </c>
      <c r="I5" s="7">
        <f>VLOOKUP(B5,'1. Cấu hình phí'!$A$4:$I$7,9,FALSE)</f>
        <v/>
      </c>
      <c r="J5" s="7">
        <f>IF('2. Nhập đơn'!I5="Có",C5*'1. Cấu hình phí'!$B$11,0)</f>
        <v/>
      </c>
      <c r="K5" s="7">
        <f>'2. Nhập đơn'!E5*'2. Nhập đơn'!G5</f>
        <v/>
      </c>
      <c r="L5" s="7">
        <f>'2. Nhập đơn'!K5</f>
        <v/>
      </c>
      <c r="M5" s="7">
        <f>C5*('1. Cấu hình phí'!$B$12+'1. Cấu hình phí'!$B$13)</f>
        <v/>
      </c>
      <c r="N5" s="9">
        <f>C5-D5-E5-F5-G5-H5-I5-J5-K5-L5-M5</f>
        <v/>
      </c>
      <c r="O5" s="6">
        <f>IF(C5=0,"",N5/C5)</f>
        <v/>
      </c>
    </row>
    <row r="6">
      <c r="A6" s="5">
        <f>'2. Nhập đơn'!A6</f>
        <v/>
      </c>
      <c r="B6" s="5">
        <f>'2. Nhập đơn'!C6</f>
        <v/>
      </c>
      <c r="C6" s="7">
        <f>'2. Nhập đơn'!E6*'2. Nhập đơn'!F6-'2. Nhập đơn'!J6</f>
        <v/>
      </c>
      <c r="D6" s="7">
        <f>C6*VLOOKUP(B6,'1. Cấu hình phí'!$A$4:$I$7,4,FALSE)</f>
        <v/>
      </c>
      <c r="E6" s="7">
        <f>C6*VLOOKUP(B6,'1. Cấu hình phí'!$A$4:$I$7,5,FALSE)</f>
        <v/>
      </c>
      <c r="F6" s="7">
        <f>C6*VLOOKUP(B6,'1. Cấu hình phí'!$A$4:$I$7,6,FALSE)</f>
        <v/>
      </c>
      <c r="G6" s="7">
        <f>C6*VLOOKUP(B6,'1. Cấu hình phí'!$A$4:$I$7,7,FALSE)</f>
        <v/>
      </c>
      <c r="H6" s="7">
        <f>C6*VLOOKUP(B6,'1. Cấu hình phí'!$A$4:$I$7,8,FALSE)</f>
        <v/>
      </c>
      <c r="I6" s="7">
        <f>VLOOKUP(B6,'1. Cấu hình phí'!$A$4:$I$7,9,FALSE)</f>
        <v/>
      </c>
      <c r="J6" s="7">
        <f>IF('2. Nhập đơn'!I6="Có",C6*'1. Cấu hình phí'!$B$11,0)</f>
        <v/>
      </c>
      <c r="K6" s="7">
        <f>'2. Nhập đơn'!E6*'2. Nhập đơn'!G6</f>
        <v/>
      </c>
      <c r="L6" s="7">
        <f>'2. Nhập đơn'!K6</f>
        <v/>
      </c>
      <c r="M6" s="7">
        <f>C6*('1. Cấu hình phí'!$B$12+'1. Cấu hình phí'!$B$13)</f>
        <v/>
      </c>
      <c r="N6" s="9">
        <f>C6-D6-E6-F6-G6-H6-I6-J6-K6-L6-M6</f>
        <v/>
      </c>
      <c r="O6" s="6">
        <f>IF(C6=0,"",N6/C6)</f>
        <v/>
      </c>
    </row>
    <row r="7">
      <c r="A7" s="5">
        <f>'2. Nhập đơn'!A7</f>
        <v/>
      </c>
      <c r="B7" s="5">
        <f>'2. Nhập đơn'!C7</f>
        <v/>
      </c>
      <c r="C7" s="7">
        <f>'2. Nhập đơn'!E7*'2. Nhập đơn'!F7-'2. Nhập đơn'!J7</f>
        <v/>
      </c>
      <c r="D7" s="7">
        <f>C7*VLOOKUP(B7,'1. Cấu hình phí'!$A$4:$I$7,4,FALSE)</f>
        <v/>
      </c>
      <c r="E7" s="7">
        <f>C7*VLOOKUP(B7,'1. Cấu hình phí'!$A$4:$I$7,5,FALSE)</f>
        <v/>
      </c>
      <c r="F7" s="7">
        <f>C7*VLOOKUP(B7,'1. Cấu hình phí'!$A$4:$I$7,6,FALSE)</f>
        <v/>
      </c>
      <c r="G7" s="7">
        <f>C7*VLOOKUP(B7,'1. Cấu hình phí'!$A$4:$I$7,7,FALSE)</f>
        <v/>
      </c>
      <c r="H7" s="7">
        <f>C7*VLOOKUP(B7,'1. Cấu hình phí'!$A$4:$I$7,8,FALSE)</f>
        <v/>
      </c>
      <c r="I7" s="7">
        <f>VLOOKUP(B7,'1. Cấu hình phí'!$A$4:$I$7,9,FALSE)</f>
        <v/>
      </c>
      <c r="J7" s="7">
        <f>IF('2. Nhập đơn'!I7="Có",C7*'1. Cấu hình phí'!$B$11,0)</f>
        <v/>
      </c>
      <c r="K7" s="7">
        <f>'2. Nhập đơn'!E7*'2. Nhập đơn'!G7</f>
        <v/>
      </c>
      <c r="L7" s="7">
        <f>'2. Nhập đơn'!K7</f>
        <v/>
      </c>
      <c r="M7" s="7">
        <f>C7*('1. Cấu hình phí'!$B$12+'1. Cấu hình phí'!$B$13)</f>
        <v/>
      </c>
      <c r="N7" s="9">
        <f>C7-D7-E7-F7-G7-H7-I7-J7-K7-L7-M7</f>
        <v/>
      </c>
      <c r="O7" s="6">
        <f>IF(C7=0,"",N7/C7)</f>
        <v/>
      </c>
    </row>
    <row r="8">
      <c r="A8" s="5">
        <f>'2. Nhập đơn'!A8</f>
        <v/>
      </c>
      <c r="B8" s="5">
        <f>'2. Nhập đơn'!C8</f>
        <v/>
      </c>
      <c r="C8" s="7">
        <f>'2. Nhập đơn'!E8*'2. Nhập đơn'!F8-'2. Nhập đơn'!J8</f>
        <v/>
      </c>
      <c r="D8" s="7">
        <f>C8*VLOOKUP(B8,'1. Cấu hình phí'!$A$4:$I$7,4,FALSE)</f>
        <v/>
      </c>
      <c r="E8" s="7">
        <f>C8*VLOOKUP(B8,'1. Cấu hình phí'!$A$4:$I$7,5,FALSE)</f>
        <v/>
      </c>
      <c r="F8" s="7">
        <f>C8*VLOOKUP(B8,'1. Cấu hình phí'!$A$4:$I$7,6,FALSE)</f>
        <v/>
      </c>
      <c r="G8" s="7">
        <f>C8*VLOOKUP(B8,'1. Cấu hình phí'!$A$4:$I$7,7,FALSE)</f>
        <v/>
      </c>
      <c r="H8" s="7">
        <f>C8*VLOOKUP(B8,'1. Cấu hình phí'!$A$4:$I$7,8,FALSE)</f>
        <v/>
      </c>
      <c r="I8" s="7">
        <f>VLOOKUP(B8,'1. Cấu hình phí'!$A$4:$I$7,9,FALSE)</f>
        <v/>
      </c>
      <c r="J8" s="7">
        <f>IF('2. Nhập đơn'!I8="Có",C8*'1. Cấu hình phí'!$B$11,0)</f>
        <v/>
      </c>
      <c r="K8" s="7">
        <f>'2. Nhập đơn'!E8*'2. Nhập đơn'!G8</f>
        <v/>
      </c>
      <c r="L8" s="7">
        <f>'2. Nhập đơn'!K8</f>
        <v/>
      </c>
      <c r="M8" s="7">
        <f>C8*('1. Cấu hình phí'!$B$12+'1. Cấu hình phí'!$B$13)</f>
        <v/>
      </c>
      <c r="N8" s="9">
        <f>C8-D8-E8-F8-G8-H8-I8-J8-K8-L8-M8</f>
        <v/>
      </c>
      <c r="O8" s="6">
        <f>IF(C8=0,"",N8/C8)</f>
        <v/>
      </c>
    </row>
    <row r="9">
      <c r="A9" s="5">
        <f>'2. Nhập đơn'!A9</f>
        <v/>
      </c>
      <c r="B9" s="5">
        <f>'2. Nhập đơn'!C9</f>
        <v/>
      </c>
      <c r="C9" s="7">
        <f>'2. Nhập đơn'!E9*'2. Nhập đơn'!F9-'2. Nhập đơn'!J9</f>
        <v/>
      </c>
      <c r="D9" s="7">
        <f>C9*VLOOKUP(B9,'1. Cấu hình phí'!$A$4:$I$7,4,FALSE)</f>
        <v/>
      </c>
      <c r="E9" s="7">
        <f>C9*VLOOKUP(B9,'1. Cấu hình phí'!$A$4:$I$7,5,FALSE)</f>
        <v/>
      </c>
      <c r="F9" s="7">
        <f>C9*VLOOKUP(B9,'1. Cấu hình phí'!$A$4:$I$7,6,FALSE)</f>
        <v/>
      </c>
      <c r="G9" s="7">
        <f>C9*VLOOKUP(B9,'1. Cấu hình phí'!$A$4:$I$7,7,FALSE)</f>
        <v/>
      </c>
      <c r="H9" s="7">
        <f>C9*VLOOKUP(B9,'1. Cấu hình phí'!$A$4:$I$7,8,FALSE)</f>
        <v/>
      </c>
      <c r="I9" s="7">
        <f>VLOOKUP(B9,'1. Cấu hình phí'!$A$4:$I$7,9,FALSE)</f>
        <v/>
      </c>
      <c r="J9" s="7">
        <f>IF('2. Nhập đơn'!I9="Có",C9*'1. Cấu hình phí'!$B$11,0)</f>
        <v/>
      </c>
      <c r="K9" s="7">
        <f>'2. Nhập đơn'!E9*'2. Nhập đơn'!G9</f>
        <v/>
      </c>
      <c r="L9" s="7">
        <f>'2. Nhập đơn'!K9</f>
        <v/>
      </c>
      <c r="M9" s="7">
        <f>C9*('1. Cấu hình phí'!$B$12+'1. Cấu hình phí'!$B$13)</f>
        <v/>
      </c>
      <c r="N9" s="9">
        <f>C9-D9-E9-F9-G9-H9-I9-J9-K9-L9-M9</f>
        <v/>
      </c>
      <c r="O9" s="6">
        <f>IF(C9=0,"",N9/C9)</f>
        <v/>
      </c>
    </row>
    <row r="10">
      <c r="A10" s="5">
        <f>'2. Nhập đơn'!A10</f>
        <v/>
      </c>
      <c r="B10" s="5">
        <f>'2. Nhập đơn'!C10</f>
        <v/>
      </c>
      <c r="C10" s="7">
        <f>'2. Nhập đơn'!E10*'2. Nhập đơn'!F10-'2. Nhập đơn'!J10</f>
        <v/>
      </c>
      <c r="D10" s="7">
        <f>C10*VLOOKUP(B10,'1. Cấu hình phí'!$A$4:$I$7,4,FALSE)</f>
        <v/>
      </c>
      <c r="E10" s="7">
        <f>C10*VLOOKUP(B10,'1. Cấu hình phí'!$A$4:$I$7,5,FALSE)</f>
        <v/>
      </c>
      <c r="F10" s="7">
        <f>C10*VLOOKUP(B10,'1. Cấu hình phí'!$A$4:$I$7,6,FALSE)</f>
        <v/>
      </c>
      <c r="G10" s="7">
        <f>C10*VLOOKUP(B10,'1. Cấu hình phí'!$A$4:$I$7,7,FALSE)</f>
        <v/>
      </c>
      <c r="H10" s="7">
        <f>C10*VLOOKUP(B10,'1. Cấu hình phí'!$A$4:$I$7,8,FALSE)</f>
        <v/>
      </c>
      <c r="I10" s="7">
        <f>VLOOKUP(B10,'1. Cấu hình phí'!$A$4:$I$7,9,FALSE)</f>
        <v/>
      </c>
      <c r="J10" s="7">
        <f>IF('2. Nhập đơn'!I10="Có",C10*'1. Cấu hình phí'!$B$11,0)</f>
        <v/>
      </c>
      <c r="K10" s="7">
        <f>'2. Nhập đơn'!E10*'2. Nhập đơn'!G10</f>
        <v/>
      </c>
      <c r="L10" s="7">
        <f>'2. Nhập đơn'!K10</f>
        <v/>
      </c>
      <c r="M10" s="7">
        <f>C10*('1. Cấu hình phí'!$B$12+'1. Cấu hình phí'!$B$13)</f>
        <v/>
      </c>
      <c r="N10" s="9">
        <f>C10-D10-E10-F10-G10-H10-I10-J10-K10-L10-M10</f>
        <v/>
      </c>
      <c r="O10" s="6">
        <f>IF(C10=0,"",N10/C10)</f>
        <v/>
      </c>
    </row>
    <row r="11">
      <c r="A11" s="5">
        <f>'2. Nhập đơn'!A11</f>
        <v/>
      </c>
      <c r="B11" s="5">
        <f>'2. Nhập đơn'!C11</f>
        <v/>
      </c>
      <c r="C11" s="7">
        <f>'2. Nhập đơn'!E11*'2. Nhập đơn'!F11-'2. Nhập đơn'!J11</f>
        <v/>
      </c>
      <c r="D11" s="7">
        <f>C11*VLOOKUP(B11,'1. Cấu hình phí'!$A$4:$I$7,4,FALSE)</f>
        <v/>
      </c>
      <c r="E11" s="7">
        <f>C11*VLOOKUP(B11,'1. Cấu hình phí'!$A$4:$I$7,5,FALSE)</f>
        <v/>
      </c>
      <c r="F11" s="7">
        <f>C11*VLOOKUP(B11,'1. Cấu hình phí'!$A$4:$I$7,6,FALSE)</f>
        <v/>
      </c>
      <c r="G11" s="7">
        <f>C11*VLOOKUP(B11,'1. Cấu hình phí'!$A$4:$I$7,7,FALSE)</f>
        <v/>
      </c>
      <c r="H11" s="7">
        <f>C11*VLOOKUP(B11,'1. Cấu hình phí'!$A$4:$I$7,8,FALSE)</f>
        <v/>
      </c>
      <c r="I11" s="7">
        <f>VLOOKUP(B11,'1. Cấu hình phí'!$A$4:$I$7,9,FALSE)</f>
        <v/>
      </c>
      <c r="J11" s="7">
        <f>IF('2. Nhập đơn'!I11="Có",C11*'1. Cấu hình phí'!$B$11,0)</f>
        <v/>
      </c>
      <c r="K11" s="7">
        <f>'2. Nhập đơn'!E11*'2. Nhập đơn'!G11</f>
        <v/>
      </c>
      <c r="L11" s="7">
        <f>'2. Nhập đơn'!K11</f>
        <v/>
      </c>
      <c r="M11" s="7">
        <f>C11*('1. Cấu hình phí'!$B$12+'1. Cấu hình phí'!$B$13)</f>
        <v/>
      </c>
      <c r="N11" s="9">
        <f>C11-D11-E11-F11-G11-H11-I11-J11-K11-L11-M11</f>
        <v/>
      </c>
      <c r="O11" s="6">
        <f>IF(C11=0,"",N11/C11)</f>
        <v/>
      </c>
    </row>
  </sheetData>
  <conditionalFormatting sqref="N4:N1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Dashboard — tổng quan lãi thật</t>
        </is>
      </c>
    </row>
    <row r="3">
      <c r="A3" s="12" t="inlineStr">
        <is>
          <t>Tổng doanh thu</t>
        </is>
      </c>
      <c r="B3" s="13">
        <f>SUM('4. Lãi thật'!C4:C11)</f>
        <v/>
      </c>
    </row>
    <row r="4">
      <c r="A4" s="12" t="inlineStr">
        <is>
          <t>Tổng LÃI THẬT</t>
        </is>
      </c>
      <c r="B4" s="13">
        <f>SUM('4. Lãi thật'!N4:N11)</f>
        <v/>
      </c>
    </row>
    <row r="5">
      <c r="A5" s="12" t="inlineStr">
        <is>
          <t>Tổng chi Ads</t>
        </is>
      </c>
      <c r="B5" s="13">
        <f>SUM('4. Lãi thật'!L4:L11)</f>
        <v/>
      </c>
    </row>
    <row r="6">
      <c r="A6" s="12" t="inlineStr">
        <is>
          <t>Biên trung bình</t>
        </is>
      </c>
      <c r="B6" s="14">
        <f>IF(SUM('4. Lãi thật'!C4:C11)=0,"",SUM('4. Lãi thật'!N4:N11)/SUM('4. Lãi thật'!C4:C11))</f>
        <v/>
      </c>
    </row>
    <row r="7">
      <c r="A7" s="12" t="inlineStr">
        <is>
          <t>Số đơn LÃI</t>
        </is>
      </c>
      <c r="B7" s="15">
        <f>COUNTIF('4. Lãi thật'!N4:N11,"&gt;0")</f>
        <v/>
      </c>
    </row>
    <row r="8">
      <c r="A8" s="12" t="inlineStr">
        <is>
          <t>Số đơn LỖ</t>
        </is>
      </c>
      <c r="B8" s="15">
        <f>COUNTIF('4. Lãi thật'!N4:N11,"&lt;0")</f>
        <v/>
      </c>
    </row>
    <row r="10">
      <c r="A10" s="2" t="inlineStr">
        <is>
          <t>Lãi thật theo KÊNH</t>
        </is>
      </c>
    </row>
    <row r="11">
      <c r="A11" s="5" t="inlineStr">
        <is>
          <t>TikTok Shop - Thường</t>
        </is>
      </c>
      <c r="B11" s="7">
        <f>SUMIF('4. Lãi thật'!B4:B11,A11,'4. Lãi thật'!N4:N11)</f>
        <v/>
      </c>
    </row>
    <row r="12">
      <c r="A12" s="5" t="inlineStr">
        <is>
          <t>Shopee - Thường</t>
        </is>
      </c>
      <c r="B12" s="7">
        <f>SUMIF('4. Lãi thật'!B4:B11,A12,'4. Lãi thật'!N4:N11)</f>
        <v/>
      </c>
    </row>
    <row r="14">
      <c r="A14" s="2" t="inlineStr">
        <is>
          <t>Lãi thật theo SKU</t>
        </is>
      </c>
    </row>
    <row r="15">
      <c r="A15" s="5" t="inlineStr">
        <is>
          <t>AO-THUN-DEN-M</t>
        </is>
      </c>
      <c r="B15" s="7">
        <f>SUMIFS('4. Lãi thật'!N4:N11,'2. Nhập đơn'!D4:D11,A15)</f>
        <v/>
      </c>
    </row>
    <row r="16">
      <c r="A16" s="5" t="inlineStr">
        <is>
          <t>QUAN-JEAN-29</t>
        </is>
      </c>
      <c r="B16" s="7">
        <f>SUMIFS('4. Lãi thật'!N4:N11,'2. Nhập đơn'!D4:D11,A16)</f>
        <v/>
      </c>
    </row>
    <row r="17">
      <c r="A17" s="5" t="inlineStr">
        <is>
          <t>VAY-HOA-S</t>
        </is>
      </c>
      <c r="B17" s="7">
        <f>SUMIFS('4. Lãi thật'!N4:N11,'2. Nhập đơn'!D4:D11,A17)</f>
        <v/>
      </c>
    </row>
    <row r="18">
      <c r="A18" s="5" t="inlineStr">
        <is>
          <t>GIAY-SNEAKER-40</t>
        </is>
      </c>
      <c r="B18" s="7">
        <f>SUMIFS('4. Lãi thật'!N4:N11,'2. Nhập đơn'!D4:D11,A18)</f>
        <v/>
      </c>
    </row>
    <row r="20">
      <c r="A20" s="16" t="inlineStr">
        <is>
          <t>* Số liệu từ dữ liệu MINH HỌA trong file — thay bằng đơn thật của bạn.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2026-07-07T14:35:22Z</dcterms:created>
  <dcterms:modified xsi:type="dcterms:W3CDTF">2026-07-07T14:35:22Z</dcterms:modified>
</cp:coreProperties>
</file>