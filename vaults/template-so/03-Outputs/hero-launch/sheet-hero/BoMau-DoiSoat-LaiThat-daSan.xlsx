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Hướng dẫn" sheetId="1" state="visible" r:id="rId1"/>
    <sheet name="1. Cấu hình phí" sheetId="2" state="visible" r:id="rId2"/>
    <sheet name="2. Nhập đơn" sheetId="3" state="visible" r:id="rId3"/>
    <sheet name="4. Đối soát" sheetId="4" state="visible" r:id="rId4"/>
    <sheet name="5. Lãi thật" sheetId="5" state="visible" r:id="rId5"/>
    <sheet name="6.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2563EB"/>
      <sz val="15"/>
    </font>
    <font>
      <b val="1"/>
      <color rgb="000F172A"/>
      <sz val="11"/>
    </font>
    <font>
      <i val="1"/>
      <color rgb="0064748B"/>
      <sz val="10"/>
    </font>
    <font>
      <b val="1"/>
      <color rgb="00FFFFFF"/>
      <sz val="10"/>
    </font>
    <font>
      <b val="1"/>
      <color rgb="000F172A"/>
    </font>
    <font>
      <b val="1"/>
    </font>
    <font>
      <i val="1"/>
      <color rgb="0064748B"/>
      <sz val="9"/>
    </font>
    <font>
      <b val="1"/>
      <color rgb="002563EB"/>
      <sz val="12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5" fillId="0" borderId="0" pivotButton="0" quotePrefix="0" xfId="0"/>
    <xf numFmtId="164" fontId="6" fillId="0" borderId="1" pivotButton="0" quotePrefix="0" xfId="0"/>
    <xf numFmtId="3" fontId="6" fillId="0" borderId="1" pivotButton="0" quotePrefix="0" xfId="0"/>
    <xf numFmtId="0" fontId="7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3" fontId="0" fillId="4" borderId="1" pivotButton="0" quotePrefix="0" xfId="0"/>
    <xf numFmtId="0" fontId="5" fillId="0" borderId="1" pivotButton="0" quotePrefix="0" xfId="0"/>
    <xf numFmtId="3" fontId="8" fillId="0" borderId="1" pivotButton="0" quotePrefix="0" xfId="0"/>
    <xf numFmtId="164" fontId="8" fillId="0" borderId="1" pivotButton="0" quotePrefix="0" xfId="0"/>
    <xf numFmtId="1" fontId="8" fillId="0" borderId="1" pivotButton="0" quotePrefix="0" xfId="0"/>
    <xf numFmtId="1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047857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BộMẫu</author>
  </authors>
  <commentList>
    <comment ref="A3" authorId="0" shapeId="0">
      <text>
        <t>Mã đơn hàng — copy từ báo cáo đơn của sàn (cột 'Mã đơn hàng' / 'Order ID').</t>
      </text>
    </comment>
    <comment ref="B3" authorId="0" shapeId="0">
      <text>
        <t>Ngày ĐẶT đơn (Order creation date).</t>
      </text>
    </comment>
    <comment ref="C3" authorId="0" shapeId="0">
      <text>
        <t>Ngày HOÀN TẤT/thanh toán (để trống nếu đơn chưa xong).</t>
      </text>
    </comment>
    <comment ref="D3" authorId="0" shapeId="0">
      <text>
        <t>Kênh bán — chọn từ danh sách. Nếu bạn KHÔNG phải Mall thì chọn '- Thường'.</t>
      </text>
    </comment>
    <comment ref="E3" authorId="0" shapeId="0">
      <text>
        <t>Trạng thái đơn — chọn từ danh sách. Quyết định cách tính lãi (xem tab '0. Hướng dẫn').</t>
      </text>
    </comment>
    <comment ref="F3" authorId="0" shapeId="0">
      <text>
        <t>SKU / Mã sản phẩm.</t>
      </text>
    </comment>
    <comment ref="G3" authorId="0" shapeId="0">
      <text>
        <t>Tên sản phẩm (để dễ đọc, không dùng trong công thức).</t>
      </text>
    </comment>
    <comment ref="H3" authorId="0" shapeId="0">
      <text>
        <t>Số lượng bán trong đơn.</t>
      </text>
    </comment>
    <comment ref="I3" authorId="0" shapeId="0">
      <text>
        <t>Đơn giá NIÊM YẾT/SP (giá gốc trước giảm).</t>
      </text>
    </comment>
    <comment ref="J3" authorId="0" shapeId="0">
      <text>
        <t>Giảm giá / voucher do SHOP tài trợ (VND) — khoản này TRỪ vào doanh thu của bạn.</t>
      </text>
    </comment>
    <comment ref="K3" authorId="0" shapeId="0">
      <text>
        <t>Voucher do SÀN tài trợ (VND) — KHÔNG trừ (sàn bù); chỉ ghi tham khảo.</t>
      </text>
    </comment>
    <comment ref="L3" authorId="0" shapeId="0">
      <text>
        <t>Giá VỐN/SP (giá nhập của bạn).</t>
      </text>
    </comment>
    <comment ref="M3" authorId="0" shapeId="0">
      <text>
        <t>Phí vận chuyển do SHOP chịu (trợ giá ship bạn tự bỏ, VND).</t>
      </text>
    </comment>
    <comment ref="N3" authorId="0" shapeId="0">
      <text>
        <t>Hoa hồng Affiliate/KOC (%) — nếu đơn đến từ nhà sáng tạo (TikTok Shop). Không có → 0.</t>
      </text>
    </comment>
    <comment ref="O3" authorId="0" shapeId="0">
      <text>
        <t>COD? — chọn Có/Không (nếu ĐVVC thu phí COD, khai % ở tab Cấu hình).</t>
      </text>
    </comment>
    <comment ref="P3" authorId="0" shapeId="0">
      <text>
        <t>Tiền HOÀN cho khách (VND) — dùng khi trạng thái 'Hoàn 1 phần'.</t>
      </text>
    </comment>
    <comment ref="Q3" authorId="0" shapeId="0">
      <text>
        <t>Tiền quảng cáo phân bổ cho đơn này (VND) — luôn mất kể cả đơn hủy/hoàn.</t>
      </text>
    </comment>
    <comment ref="R3" authorId="0" shapeId="0">
      <text>
        <t>Ghi chú tự 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BỘMẪU — Sheet Đối-soát &amp; Tính LÃI THẬT đa-sàn (TikTok Shop + Shopee)</t>
        </is>
      </c>
    </row>
    <row r="4">
      <c r="A4" s="2" t="inlineStr">
        <is>
          <t>BẮT ĐẦU 3 BƯỚC</t>
        </is>
      </c>
    </row>
    <row r="5">
      <c r="A5" s="3" t="inlineStr">
        <is>
          <t>1) Tab '1. Cấu hình phí': sửa % phí theo Kênh Người Bán THẬT của bạn (số đang điền là benchmark 2026).</t>
        </is>
      </c>
    </row>
    <row r="6">
      <c r="A6" s="3" t="inlineStr">
        <is>
          <t>2) Tab '2. Nhập đơn': dán đơn từ báo cáo sàn (xem 'CÁCH LẤY DỮ LIỆU' bên dưới). Xoá 8 dòng mẫu DH001–DH008.</t>
        </is>
      </c>
    </row>
    <row r="7">
      <c r="A7" s="3" t="inlineStr">
        <is>
          <t>3) Xem tab '5. Lãi thật' (lãi/lỗ từng đơn, lãi âm tô đỏ) và '6. Dashboard' (tổng theo kênh/SKU/trạng thái).</t>
        </is>
      </c>
    </row>
    <row r="9">
      <c r="A9" s="2" t="inlineStr">
        <is>
          <t>CÁCH LẤY DỮ LIỆU (real-time / định kỳ)</t>
        </is>
      </c>
    </row>
    <row r="10">
      <c r="A10" s="3" t="inlineStr">
        <is>
          <t>• TikTok Shop: Trung tâm Người Bán → Đơn hàng → Quản lý đơn → 'Xuất' (chọn khoảng ngày, tối đa 6 tháng, CSV).</t>
        </is>
      </c>
    </row>
    <row r="11">
      <c r="A11" s="3" t="inlineStr">
        <is>
          <t xml:space="preserve">   Đối soát tiền thật: Tài chính → Số dư/Đối soát (Settlement) → tải file giao dịch đã quyết toán.</t>
        </is>
      </c>
    </row>
    <row r="12">
      <c r="A12" s="3" t="inlineStr">
        <is>
          <t>• Shopee: Kênh Người Bán → Tài chính → Báo Cáo Thu Nhập → 'Tải báo cáo thu nhập' (có Mã đơn, phí Shopee, phí VC, hoàn trả, doanh thu thực).</t>
        </is>
      </c>
    </row>
    <row r="13">
      <c r="A13" s="3" t="inlineStr">
        <is>
          <t>• Tần suất gợi ý: cập nhật MỖI NGÀY (dán đơn mới) hoặc theo đợt quyết toán của sàn. Đây là cách 'real-time' thực tế cho hộ KD.</t>
        </is>
      </c>
    </row>
    <row r="14">
      <c r="A14" s="3" t="inlineStr">
        <is>
          <t>• Nâng cao (tự động 100%): dùng Google Apps Script gọi API TikTok Shop / Shopee OpenAPI để tự kéo đơn về Sheet — cần lập trình, không bắt buộc ở bản này.</t>
        </is>
      </c>
    </row>
    <row r="16">
      <c r="A16" s="2" t="inlineStr">
        <is>
          <t>CÁCH TÍNH THEO TRẠNG THÁI ĐƠN (quan trọng)</t>
        </is>
      </c>
    </row>
    <row r="17">
      <c r="A17" s="3" t="inlineStr">
        <is>
          <t>• Hoàn thành / Đang giao: tính đủ (Đang giao = tạm tính, có thể đổi khi chốt).</t>
        </is>
      </c>
    </row>
    <row r="18">
      <c r="A18" s="3" t="inlineStr">
        <is>
          <t>• Đã hủy: doanh thu = 0, KHÔNG mất giá vốn (hàng còn) — chỉ mất tiền ADS đã chi.</t>
        </is>
      </c>
    </row>
    <row r="19">
      <c r="A19" s="3" t="inlineStr">
        <is>
          <t>• Trả hàng-Hoàn tiền: doanh thu = 0, hàng về kho (không mất vốn) — mất ADS + phí ship shop chịu.</t>
        </is>
      </c>
    </row>
    <row r="20">
      <c r="A20" s="3" t="inlineStr">
        <is>
          <t>• Hoàn 1 phần: doanh thu = (SL×đơn giá − giảm shop) − tiền hoàn; các phí tính trên doanh thu còn lại.</t>
        </is>
      </c>
    </row>
    <row r="22">
      <c r="A22" s="2" t="inlineStr">
        <is>
          <t>TỪ ĐIỂN CỘT (tab '2. Nhập đơn') — có chú thích ngay trên tiêu đề mỗi cột</t>
        </is>
      </c>
    </row>
    <row r="23">
      <c r="A23" s="3" t="inlineStr">
        <is>
          <t>Cột 10 Giảm giá SHOP tài trợ = TRỪ doanh thu; Cột 11 Voucher SÀN tài trợ = KHÔNG trừ (chỉ tham khảo).</t>
        </is>
      </c>
    </row>
    <row r="24">
      <c r="A24" s="3" t="inlineStr">
        <is>
          <t>Cột 14 Hoa hồng Affiliate/KOC % = chi phí trả cho nhà sáng tạo (đơn qua affiliate TikTok Shop).</t>
        </is>
      </c>
    </row>
    <row r="25">
      <c r="A25" s="3" t="inlineStr">
        <is>
          <t>Cột 13 Phí ship SHOP chịu = phần ship bạn tự bù (trợ giá). Cột 17 Ads = luôn mất kể cả hủy/hoàn.</t>
        </is>
      </c>
    </row>
    <row r="27">
      <c r="A27" s="2" t="inlineStr">
        <is>
          <t>GROUNDING (đọc kỹ)</t>
        </is>
      </c>
    </row>
    <row r="28">
      <c r="A28" s="3" t="inlineStr">
        <is>
          <t>• Mọi % phí sàn = [benchmark 2026 — CẦN BẠN XÁC MINH theo tài khoản &amp; ngành hàng thật].</t>
        </is>
      </c>
    </row>
    <row r="29">
      <c r="A29" s="3" t="inlineStr">
        <is>
          <t>• Thuế mặc định 1,5% = GTGT 1% + TNCN 0,5% (nhóm PHÂN PHỐI HÀNG HÓA, TT40/2021). KHÔNG phải 5%+2% (dịch vụ). MẪU — cần kế toán rà; lộ trình thuế hộ KD 2026 đang đổi.</t>
        </is>
      </c>
    </row>
    <row r="30">
      <c r="A30" s="3" t="inlineStr">
        <is>
          <t>• Dữ liệu đơn trong file là VÍ DỤ MINH HỌA — xoá và nhập số thật của bạn.</t>
        </is>
      </c>
    </row>
    <row r="31">
      <c r="A31" s="3" t="inlineStr">
        <is>
          <t>• Bản-quyền: file chỉ dùng hàm/định dạng bảng tính chuẩn — không asset bên thứ ba (bán được, sạch quyền).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  <col width="13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Cấu hình phí sàn &amp; thuế</t>
        </is>
      </c>
    </row>
    <row r="2">
      <c r="A2" s="4" t="inlineStr">
        <is>
          <t>Sửa theo tài khoản THẬT. % phí = benchmark 2026 cần xác minh.</t>
        </is>
      </c>
    </row>
    <row r="3">
      <c r="A3" s="5" t="inlineStr">
        <is>
          <t>Kênh (Mã tra cứu)</t>
        </is>
      </c>
      <c r="B3" s="5" t="inlineStr">
        <is>
          <t>Sàn</t>
        </is>
      </c>
      <c r="C3" s="5" t="inlineStr">
        <is>
          <t>Loại</t>
        </is>
      </c>
      <c r="D3" s="5" t="inlineStr">
        <is>
          <t>Hoa hồng nền tảng %</t>
        </is>
      </c>
      <c r="E3" s="5" t="inlineStr">
        <is>
          <t>Phí giao dịch %</t>
        </is>
      </c>
      <c r="F3" s="5" t="inlineStr">
        <is>
          <t>Phí dịch vụ %</t>
        </is>
      </c>
      <c r="G3" s="5" t="inlineStr">
        <is>
          <t>Freeship Xtra %</t>
        </is>
      </c>
      <c r="H3" s="5" t="inlineStr">
        <is>
          <t>Voucher Xtra %</t>
        </is>
      </c>
      <c r="I3" s="5" t="inlineStr">
        <is>
          <t>Phí xử lý đơn (VND)</t>
        </is>
      </c>
    </row>
    <row r="4">
      <c r="A4" s="6" t="inlineStr">
        <is>
          <t>TikTok Shop - Thường</t>
        </is>
      </c>
      <c r="B4" s="6" t="inlineStr">
        <is>
          <t>TikTok Shop</t>
        </is>
      </c>
      <c r="C4" s="6" t="inlineStr">
        <is>
          <t>Thường (Marketplace)</t>
        </is>
      </c>
      <c r="D4" s="7" t="n">
        <v>0.125</v>
      </c>
      <c r="E4" s="7" t="n">
        <v>0.06</v>
      </c>
      <c r="F4" s="7" t="n">
        <v>0</v>
      </c>
      <c r="G4" s="7" t="n">
        <v>0</v>
      </c>
      <c r="H4" s="7" t="n">
        <v>0</v>
      </c>
      <c r="I4" s="8" t="n">
        <v>3000</v>
      </c>
    </row>
    <row r="5">
      <c r="A5" s="6" t="inlineStr">
        <is>
          <t>TikTok Shop - Mall</t>
        </is>
      </c>
      <c r="B5" s="6" t="inlineStr">
        <is>
          <t>TikTok Shop</t>
        </is>
      </c>
      <c r="C5" s="6" t="inlineStr">
        <is>
          <t>Mall</t>
        </is>
      </c>
      <c r="D5" s="7" t="n">
        <v>0.155</v>
      </c>
      <c r="E5" s="7" t="n">
        <v>0.06</v>
      </c>
      <c r="F5" s="7" t="n">
        <v>0</v>
      </c>
      <c r="G5" s="7" t="n">
        <v>0</v>
      </c>
      <c r="H5" s="7" t="n">
        <v>0</v>
      </c>
      <c r="I5" s="8" t="n">
        <v>3000</v>
      </c>
    </row>
    <row r="6">
      <c r="A6" s="6" t="inlineStr">
        <is>
          <t>Shopee - Thường</t>
        </is>
      </c>
      <c r="B6" s="6" t="inlineStr">
        <is>
          <t>Shopee</t>
        </is>
      </c>
      <c r="C6" s="6" t="inlineStr">
        <is>
          <t>Thường</t>
        </is>
      </c>
      <c r="D6" s="7" t="n">
        <v>0.08</v>
      </c>
      <c r="E6" s="7" t="n">
        <v>0.05</v>
      </c>
      <c r="F6" s="7" t="n">
        <v>0.02</v>
      </c>
      <c r="G6" s="7" t="n">
        <v>0</v>
      </c>
      <c r="H6" s="7" t="n">
        <v>0</v>
      </c>
      <c r="I6" s="8" t="n">
        <v>0</v>
      </c>
    </row>
    <row r="7">
      <c r="A7" s="6" t="inlineStr">
        <is>
          <t>Shopee - Mall</t>
        </is>
      </c>
      <c r="B7" s="6" t="inlineStr">
        <is>
          <t>Shopee</t>
        </is>
      </c>
      <c r="C7" s="6" t="inlineStr">
        <is>
          <t>Shopee Mall</t>
        </is>
      </c>
      <c r="D7" s="7" t="n">
        <v>0.1</v>
      </c>
      <c r="E7" s="7" t="n">
        <v>0.05</v>
      </c>
      <c r="F7" s="7" t="n">
        <v>0.02</v>
      </c>
      <c r="G7" s="7" t="n">
        <v>0</v>
      </c>
      <c r="H7" s="7" t="n">
        <v>0</v>
      </c>
      <c r="I7" s="8" t="n">
        <v>0</v>
      </c>
    </row>
    <row r="10">
      <c r="A10" s="9" t="inlineStr">
        <is>
          <t>THAM SỐ CHUNG</t>
        </is>
      </c>
    </row>
    <row r="11">
      <c r="A11" s="6" t="inlineStr">
        <is>
          <t>Phí COD (% giá trị COD, nếu ĐVVC thu)</t>
        </is>
      </c>
      <c r="B11" s="10" t="n">
        <v>0</v>
      </c>
    </row>
    <row r="12">
      <c r="A12" s="6" t="inlineStr">
        <is>
          <t>Thuế GTGT khoán (hàng hóa)</t>
        </is>
      </c>
      <c r="B12" s="10" t="n">
        <v>0.01</v>
      </c>
    </row>
    <row r="13">
      <c r="A13" s="6" t="inlineStr">
        <is>
          <t>Thuế TNCN khoán (hàng hóa)</t>
        </is>
      </c>
      <c r="B13" s="10" t="n">
        <v>0.005</v>
      </c>
    </row>
    <row r="14">
      <c r="A14" s="6" t="inlineStr">
        <is>
          <t>Tổng thuế khoán</t>
        </is>
      </c>
      <c r="B14" s="10">
        <f>B13+B14</f>
        <v/>
      </c>
    </row>
    <row r="15">
      <c r="A15" s="6" t="inlineStr">
        <is>
          <t>Ngưỡng miễn thuế/năm (cần kế toán xác minh)</t>
        </is>
      </c>
      <c r="B15" s="11" t="n">
        <v>1000000000</v>
      </c>
    </row>
    <row r="17">
      <c r="A17" s="12" t="inlineStr">
        <is>
          <t>Ghi chú: Hoa hồng nền tảng TikTok Shop tính trên doanh thu SAU giảm giá shop; theo ngành hàng có thể 1–5% (mục hoa hồng riêng) hoặc gói nền tảng ~12.5%/15.5% — kiểm theo Kênh Người Bán của bạn.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9" customWidth="1" min="4" max="4"/>
    <col width="17" customWidth="1" min="5" max="5"/>
    <col width="15" customWidth="1" min="6" max="6"/>
    <col width="20" customWidth="1" min="7" max="7"/>
    <col width="5" customWidth="1" min="8" max="8"/>
    <col width="14" customWidth="1" min="9" max="9"/>
    <col width="16" customWidth="1" min="10" max="10"/>
    <col width="15" customWidth="1" min="11" max="11"/>
    <col width="11" customWidth="1" min="12" max="12"/>
    <col width="16" customWidth="1" min="13" max="13"/>
    <col width="16" customWidth="1" min="14" max="14"/>
    <col width="7" customWidth="1" min="15" max="15"/>
    <col width="13" customWidth="1" min="16" max="16"/>
    <col width="15" customWidth="1" min="17" max="17"/>
    <col width="22" customWidth="1" min="18" max="18"/>
  </cols>
  <sheetData>
    <row r="1">
      <c r="A1" s="1" t="inlineStr">
        <is>
          <t>Nhập đơn (dán từ báo cáo TikTok Shop + Shopee)</t>
        </is>
      </c>
    </row>
    <row r="2">
      <c r="A2" s="4" t="inlineStr">
        <is>
          <t>Xoá dòng mẫu, dán đơn thật. Cột Kênh/Trạng thái/COD chọn từ danh sách. Di chuột lên tiêu đề cột để xem chú thích.</t>
        </is>
      </c>
    </row>
    <row r="3">
      <c r="A3" s="5" t="inlineStr">
        <is>
          <t>Mã đơn</t>
        </is>
      </c>
      <c r="B3" s="5" t="inlineStr">
        <is>
          <t>Ngày đặt</t>
        </is>
      </c>
      <c r="C3" s="5" t="inlineStr">
        <is>
          <t>Ngày hoàn tất</t>
        </is>
      </c>
      <c r="D3" s="5" t="inlineStr">
        <is>
          <t>Kênh</t>
        </is>
      </c>
      <c r="E3" s="5" t="inlineStr">
        <is>
          <t>Trạng thái</t>
        </is>
      </c>
      <c r="F3" s="5" t="inlineStr">
        <is>
          <t>SKU</t>
        </is>
      </c>
      <c r="G3" s="5" t="inlineStr">
        <is>
          <t>Tên sản phẩm</t>
        </is>
      </c>
      <c r="H3" s="5" t="inlineStr">
        <is>
          <t>SL</t>
        </is>
      </c>
      <c r="I3" s="5" t="inlineStr">
        <is>
          <t>Đơn giá niêm yết</t>
        </is>
      </c>
      <c r="J3" s="5" t="inlineStr">
        <is>
          <t>Giảm giá SHOP (VND)</t>
        </is>
      </c>
      <c r="K3" s="5" t="inlineStr">
        <is>
          <t>Voucher SÀN (VND)</t>
        </is>
      </c>
      <c r="L3" s="5" t="inlineStr">
        <is>
          <t>Giá vốn/SP</t>
        </is>
      </c>
      <c r="M3" s="5" t="inlineStr">
        <is>
          <t>Ship SHOP chịu (VND)</t>
        </is>
      </c>
      <c r="N3" s="5" t="inlineStr">
        <is>
          <t>Hoa hồng Affiliate %</t>
        </is>
      </c>
      <c r="O3" s="5" t="inlineStr">
        <is>
          <t>COD</t>
        </is>
      </c>
      <c r="P3" s="5" t="inlineStr">
        <is>
          <t>Tiền hoàn (VND)</t>
        </is>
      </c>
      <c r="Q3" s="5" t="inlineStr">
        <is>
          <t>Ads phân bổ (VND)</t>
        </is>
      </c>
      <c r="R3" s="5" t="inlineStr">
        <is>
          <t>Ghi chú</t>
        </is>
      </c>
    </row>
    <row r="4">
      <c r="A4" s="6" t="inlineStr">
        <is>
          <t>DH001</t>
        </is>
      </c>
      <c r="B4" s="6" t="inlineStr">
        <is>
          <t>01/07/2026</t>
        </is>
      </c>
      <c r="C4" s="6" t="inlineStr">
        <is>
          <t>03/07/2026</t>
        </is>
      </c>
      <c r="D4" s="6" t="inlineStr">
        <is>
          <t>TikTok Shop - Thường</t>
        </is>
      </c>
      <c r="E4" s="6" t="inlineStr">
        <is>
          <t>Hoàn thành</t>
        </is>
      </c>
      <c r="F4" s="6" t="inlineStr">
        <is>
          <t>AO-THUN-DEN-M</t>
        </is>
      </c>
      <c r="G4" s="6" t="inlineStr">
        <is>
          <t>Áo thun đen size M</t>
        </is>
      </c>
      <c r="H4" s="13" t="n">
        <v>2</v>
      </c>
      <c r="I4" s="8" t="n">
        <v>150000</v>
      </c>
      <c r="J4" s="8" t="n">
        <v>10000</v>
      </c>
      <c r="K4" s="8" t="n">
        <v>0</v>
      </c>
      <c r="L4" s="8" t="n">
        <v>60000</v>
      </c>
      <c r="M4" s="8" t="n">
        <v>0</v>
      </c>
      <c r="N4" s="7" t="n">
        <v>0</v>
      </c>
      <c r="O4" s="6" t="inlineStr">
        <is>
          <t>Không</t>
        </is>
      </c>
      <c r="P4" s="8" t="n">
        <v>0</v>
      </c>
      <c r="Q4" s="8" t="n">
        <v>15000</v>
      </c>
      <c r="R4" s="6" t="inlineStr"/>
    </row>
    <row r="5">
      <c r="A5" s="6" t="inlineStr">
        <is>
          <t>DH002</t>
        </is>
      </c>
      <c r="B5" s="6" t="inlineStr">
        <is>
          <t>01/07/2026</t>
        </is>
      </c>
      <c r="C5" s="6" t="inlineStr">
        <is>
          <t>04/07/2026</t>
        </is>
      </c>
      <c r="D5" s="6" t="inlineStr">
        <is>
          <t>Shopee - Thường</t>
        </is>
      </c>
      <c r="E5" s="6" t="inlineStr">
        <is>
          <t>Hoàn thành</t>
        </is>
      </c>
      <c r="F5" s="6" t="inlineStr">
        <is>
          <t>QUAN-JEAN-29</t>
        </is>
      </c>
      <c r="G5" s="6" t="inlineStr">
        <is>
          <t>Quần jean nam 29</t>
        </is>
      </c>
      <c r="H5" s="13" t="n">
        <v>1</v>
      </c>
      <c r="I5" s="8" t="n">
        <v>320000</v>
      </c>
      <c r="J5" s="8" t="n">
        <v>0</v>
      </c>
      <c r="K5" s="8" t="n">
        <v>20000</v>
      </c>
      <c r="L5" s="8" t="n">
        <v>140000</v>
      </c>
      <c r="M5" s="8" t="n">
        <v>0</v>
      </c>
      <c r="N5" s="7" t="n">
        <v>0</v>
      </c>
      <c r="O5" s="6" t="inlineStr">
        <is>
          <t>Có</t>
        </is>
      </c>
      <c r="P5" s="8" t="n">
        <v>0</v>
      </c>
      <c r="Q5" s="8" t="n">
        <v>25000</v>
      </c>
      <c r="R5" s="6" t="inlineStr">
        <is>
          <t>Voucher sàn 20k (sàn chịu, không trừ)</t>
        </is>
      </c>
    </row>
    <row r="6">
      <c r="A6" s="6" t="inlineStr">
        <is>
          <t>DH003</t>
        </is>
      </c>
      <c r="B6" s="6" t="inlineStr">
        <is>
          <t>02/07/2026</t>
        </is>
      </c>
      <c r="C6" s="6" t="inlineStr"/>
      <c r="D6" s="6" t="inlineStr">
        <is>
          <t>TikTok Shop - Thường</t>
        </is>
      </c>
      <c r="E6" s="6" t="inlineStr">
        <is>
          <t>Đang giao</t>
        </is>
      </c>
      <c r="F6" s="6" t="inlineStr">
        <is>
          <t>VAY-HOA-S</t>
        </is>
      </c>
      <c r="G6" s="6" t="inlineStr">
        <is>
          <t>Váy hoa size S</t>
        </is>
      </c>
      <c r="H6" s="13" t="n">
        <v>1</v>
      </c>
      <c r="I6" s="8" t="n">
        <v>219000</v>
      </c>
      <c r="J6" s="8" t="n">
        <v>15000</v>
      </c>
      <c r="K6" s="8" t="n">
        <v>0</v>
      </c>
      <c r="L6" s="8" t="n">
        <v>85000</v>
      </c>
      <c r="M6" s="8" t="n">
        <v>20000</v>
      </c>
      <c r="N6" s="7" t="n">
        <v>0.05</v>
      </c>
      <c r="O6" s="6" t="inlineStr">
        <is>
          <t>Không</t>
        </is>
      </c>
      <c r="P6" s="8" t="n">
        <v>0</v>
      </c>
      <c r="Q6" s="8" t="n">
        <v>30000</v>
      </c>
      <c r="R6" s="6" t="inlineStr">
        <is>
          <t>Đơn qua affiliate KOC 5%; tạm tính</t>
        </is>
      </c>
    </row>
    <row r="7">
      <c r="A7" s="6" t="inlineStr">
        <is>
          <t>DH004</t>
        </is>
      </c>
      <c r="B7" s="6" t="inlineStr">
        <is>
          <t>02/07/2026</t>
        </is>
      </c>
      <c r="C7" s="6" t="inlineStr">
        <is>
          <t>02/07/2026</t>
        </is>
      </c>
      <c r="D7" s="6" t="inlineStr">
        <is>
          <t>Shopee - Thường</t>
        </is>
      </c>
      <c r="E7" s="6" t="inlineStr">
        <is>
          <t>Đã hủy</t>
        </is>
      </c>
      <c r="F7" s="6" t="inlineStr">
        <is>
          <t>AO-THUN-DEN-M</t>
        </is>
      </c>
      <c r="G7" s="6" t="inlineStr">
        <is>
          <t>Áo thun đen size M</t>
        </is>
      </c>
      <c r="H7" s="13" t="n">
        <v>3</v>
      </c>
      <c r="I7" s="8" t="n">
        <v>145000</v>
      </c>
      <c r="J7" s="8" t="n">
        <v>0</v>
      </c>
      <c r="K7" s="8" t="n">
        <v>0</v>
      </c>
      <c r="L7" s="8" t="n">
        <v>60000</v>
      </c>
      <c r="M7" s="8" t="n">
        <v>0</v>
      </c>
      <c r="N7" s="7" t="n">
        <v>0</v>
      </c>
      <c r="O7" s="6" t="inlineStr">
        <is>
          <t>Không</t>
        </is>
      </c>
      <c r="P7" s="8" t="n">
        <v>0</v>
      </c>
      <c r="Q7" s="8" t="n">
        <v>12000</v>
      </c>
      <c r="R7" s="6" t="inlineStr">
        <is>
          <t>Khách hủy trước khi giao — chỉ mất ads</t>
        </is>
      </c>
    </row>
    <row r="8">
      <c r="A8" s="6" t="inlineStr">
        <is>
          <t>DH005</t>
        </is>
      </c>
      <c r="B8" s="6" t="inlineStr">
        <is>
          <t>03/07/2026</t>
        </is>
      </c>
      <c r="C8" s="6" t="inlineStr">
        <is>
          <t>06/07/2026</t>
        </is>
      </c>
      <c r="D8" s="6" t="inlineStr">
        <is>
          <t>Shopee - Thường</t>
        </is>
      </c>
      <c r="E8" s="6" t="inlineStr">
        <is>
          <t>Trả hàng-Hoàn tiền</t>
        </is>
      </c>
      <c r="F8" s="6" t="inlineStr">
        <is>
          <t>GIAY-SNEAKER-40</t>
        </is>
      </c>
      <c r="G8" s="6" t="inlineStr">
        <is>
          <t>Giày sneaker 40</t>
        </is>
      </c>
      <c r="H8" s="13" t="n">
        <v>1</v>
      </c>
      <c r="I8" s="8" t="n">
        <v>450000</v>
      </c>
      <c r="J8" s="8" t="n">
        <v>30000</v>
      </c>
      <c r="K8" s="8" t="n">
        <v>0</v>
      </c>
      <c r="L8" s="8" t="n">
        <v>250000</v>
      </c>
      <c r="M8" s="8" t="n">
        <v>30000</v>
      </c>
      <c r="N8" s="7" t="n">
        <v>0</v>
      </c>
      <c r="O8" s="6" t="inlineStr">
        <is>
          <t>Có</t>
        </is>
      </c>
      <c r="P8" s="8" t="n">
        <v>0</v>
      </c>
      <c r="Q8" s="8" t="n">
        <v>40000</v>
      </c>
      <c r="R8" s="6" t="inlineStr">
        <is>
          <t>Trả hàng: mất ship 2 chiều + ads; hàng về kho</t>
        </is>
      </c>
    </row>
    <row r="9">
      <c r="A9" s="6" t="inlineStr">
        <is>
          <t>DH006</t>
        </is>
      </c>
      <c r="B9" s="6" t="inlineStr">
        <is>
          <t>03/07/2026</t>
        </is>
      </c>
      <c r="C9" s="6" t="inlineStr">
        <is>
          <t>05/07/2026</t>
        </is>
      </c>
      <c r="D9" s="6" t="inlineStr">
        <is>
          <t>TikTok Shop - Thường</t>
        </is>
      </c>
      <c r="E9" s="6" t="inlineStr">
        <is>
          <t>Hoàn 1 phần</t>
        </is>
      </c>
      <c r="F9" s="6" t="inlineStr">
        <is>
          <t>QUAN-JEAN-29</t>
        </is>
      </c>
      <c r="G9" s="6" t="inlineStr">
        <is>
          <t>Quần jean nam 29</t>
        </is>
      </c>
      <c r="H9" s="13" t="n">
        <v>1</v>
      </c>
      <c r="I9" s="8" t="n">
        <v>299000</v>
      </c>
      <c r="J9" s="8" t="n">
        <v>0</v>
      </c>
      <c r="K9" s="8" t="n">
        <v>0</v>
      </c>
      <c r="L9" s="8" t="n">
        <v>140000</v>
      </c>
      <c r="M9" s="8" t="n">
        <v>0</v>
      </c>
      <c r="N9" s="7" t="n">
        <v>0</v>
      </c>
      <c r="O9" s="6" t="inlineStr">
        <is>
          <t>Không</t>
        </is>
      </c>
      <c r="P9" s="8" t="n">
        <v>50000</v>
      </c>
      <c r="Q9" s="8" t="n">
        <v>20000</v>
      </c>
      <c r="R9" s="6" t="inlineStr">
        <is>
          <t>Hoàn 1 phần 50k (lỗi nhẹ, khách giữ hàng)</t>
        </is>
      </c>
    </row>
    <row r="10">
      <c r="A10" s="6" t="inlineStr">
        <is>
          <t>DH007</t>
        </is>
      </c>
      <c r="B10" s="6" t="inlineStr">
        <is>
          <t>04/07/2026</t>
        </is>
      </c>
      <c r="C10" s="6" t="inlineStr">
        <is>
          <t>06/07/2026</t>
        </is>
      </c>
      <c r="D10" s="6" t="inlineStr">
        <is>
          <t>TikTok Shop - Thường</t>
        </is>
      </c>
      <c r="E10" s="6" t="inlineStr">
        <is>
          <t>Hoàn thành</t>
        </is>
      </c>
      <c r="F10" s="6" t="inlineStr">
        <is>
          <t>AO-THUN-DEN-M</t>
        </is>
      </c>
      <c r="G10" s="6" t="inlineStr">
        <is>
          <t>Áo thun đen size M</t>
        </is>
      </c>
      <c r="H10" s="13" t="n">
        <v>1</v>
      </c>
      <c r="I10" s="8" t="n">
        <v>150000</v>
      </c>
      <c r="J10" s="8" t="n">
        <v>5000</v>
      </c>
      <c r="K10" s="8" t="n">
        <v>0</v>
      </c>
      <c r="L10" s="8" t="n">
        <v>60000</v>
      </c>
      <c r="M10" s="8" t="n">
        <v>0</v>
      </c>
      <c r="N10" s="7" t="n">
        <v>0</v>
      </c>
      <c r="O10" s="6" t="inlineStr">
        <is>
          <t>Có</t>
        </is>
      </c>
      <c r="P10" s="8" t="n">
        <v>0</v>
      </c>
      <c r="Q10" s="8" t="n">
        <v>10000</v>
      </c>
      <c r="R10" s="6" t="inlineStr"/>
    </row>
    <row r="11">
      <c r="A11" s="6" t="inlineStr">
        <is>
          <t>DH008</t>
        </is>
      </c>
      <c r="B11" s="6" t="inlineStr">
        <is>
          <t>04/07/2026</t>
        </is>
      </c>
      <c r="C11" s="6" t="inlineStr">
        <is>
          <t>07/07/2026</t>
        </is>
      </c>
      <c r="D11" s="6" t="inlineStr">
        <is>
          <t>Shopee - Thường</t>
        </is>
      </c>
      <c r="E11" s="6" t="inlineStr">
        <is>
          <t>Hoàn thành</t>
        </is>
      </c>
      <c r="F11" s="6" t="inlineStr">
        <is>
          <t>VAY-HOA-S</t>
        </is>
      </c>
      <c r="G11" s="6" t="inlineStr">
        <is>
          <t>Váy hoa size S</t>
        </is>
      </c>
      <c r="H11" s="13" t="n">
        <v>2</v>
      </c>
      <c r="I11" s="8" t="n">
        <v>219000</v>
      </c>
      <c r="J11" s="8" t="n">
        <v>10000</v>
      </c>
      <c r="K11" s="8" t="n">
        <v>0</v>
      </c>
      <c r="L11" s="8" t="n">
        <v>85000</v>
      </c>
      <c r="M11" s="8" t="n">
        <v>0</v>
      </c>
      <c r="N11" s="7" t="n">
        <v>0</v>
      </c>
      <c r="O11" s="6" t="inlineStr">
        <is>
          <t>Không</t>
        </is>
      </c>
      <c r="P11" s="8" t="n">
        <v>0</v>
      </c>
      <c r="Q11" s="8" t="n">
        <v>18000</v>
      </c>
      <c r="R11" s="6" t="inlineStr"/>
    </row>
  </sheetData>
  <dataValidations count="3">
    <dataValidation sqref="D4:D300" showDropDown="0" showInputMessage="0" showErrorMessage="0" allowBlank="1" type="list">
      <formula1>'1. Cấu hình phí'!$A$4:$A$7</formula1>
    </dataValidation>
    <dataValidation sqref="O4:O300" showDropDown="0" showInputMessage="0" showErrorMessage="0" allowBlank="1" type="list">
      <formula1>"Có,Không"</formula1>
    </dataValidation>
    <dataValidation sqref="E4:E300" showDropDown="0" showInputMessage="0" showErrorMessage="0" allowBlank="1" type="list">
      <formula1>"Hoàn thành,Đang giao,Đã hủy,Trả hàng-Hoàn tiền,Hoàn 1 phần"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7" customWidth="1" min="3" max="3"/>
    <col width="26" customWidth="1" min="4" max="4"/>
    <col width="26" customWidth="1" min="5" max="5"/>
    <col width="13" customWidth="1" min="6" max="6"/>
    <col width="13" customWidth="1" min="7" max="7"/>
  </cols>
  <sheetData>
    <row r="1">
      <c r="A1" s="1" t="inlineStr">
        <is>
          <t>Đối soát tiền sàn</t>
        </is>
      </c>
    </row>
    <row r="2">
      <c r="A2" s="4" t="inlineStr">
        <is>
          <t>Nhập 'Tiền sàn THỰC nhận' (cột vàng) từ file Settlement/Thu nhập của sàn → bắt lệch.</t>
        </is>
      </c>
    </row>
    <row r="3">
      <c r="A3" s="5" t="inlineStr">
        <is>
          <t>Mã đơn</t>
        </is>
      </c>
      <c r="B3" s="5" t="inlineStr">
        <is>
          <t>Kênh</t>
        </is>
      </c>
      <c r="C3" s="5" t="inlineStr">
        <is>
          <t>Trạng thái</t>
        </is>
      </c>
      <c r="D3" s="5" t="inlineStr">
        <is>
          <t>Tiền sàn 'lẽ ra' trả (lý thuyết)</t>
        </is>
      </c>
      <c r="E3" s="5" t="inlineStr">
        <is>
          <t>Tiền sàn THỰC nhận (nhập tay)</t>
        </is>
      </c>
      <c r="F3" s="5" t="inlineStr">
        <is>
          <t>Chênh lệch</t>
        </is>
      </c>
      <c r="G3" s="5" t="inlineStr">
        <is>
          <t>Cờ</t>
        </is>
      </c>
    </row>
    <row r="4">
      <c r="A4" s="6">
        <f>'5. Lãi thật'!A4</f>
        <v/>
      </c>
      <c r="B4" s="6">
        <f>'5. Lãi thật'!B4</f>
        <v/>
      </c>
      <c r="C4" s="6">
        <f>'5. Lãi thật'!C4</f>
        <v/>
      </c>
      <c r="D4" s="8">
        <f>'5. Lãi thật'!D4-('5. Lãi thật'!E4+'5. Lãi thật'!F4+'5. Lãi thật'!G4+'5. Lãi thật'!I4)</f>
        <v/>
      </c>
      <c r="E4" s="14" t="n">
        <v>228650</v>
      </c>
      <c r="F4" s="8">
        <f>IF(E4="","",E4-D4)</f>
        <v/>
      </c>
      <c r="G4" s="6">
        <f>IF(E4="","(chưa nhập)",IF(ABS(E4-D4)&lt;1000,"✓ Khớp","⚠ LỆCH"))</f>
        <v/>
      </c>
    </row>
    <row r="5">
      <c r="A5" s="6">
        <f>'5. Lãi thật'!A5</f>
        <v/>
      </c>
      <c r="B5" s="6">
        <f>'5. Lãi thật'!B5</f>
        <v/>
      </c>
      <c r="C5" s="6">
        <f>'5. Lãi thật'!C5</f>
        <v/>
      </c>
      <c r="D5" s="8">
        <f>'5. Lãi thật'!D5-('5. Lãi thật'!E5+'5. Lãi thật'!F5+'5. Lãi thật'!G5+'5. Lãi thật'!I5)</f>
        <v/>
      </c>
      <c r="E5" s="14" t="n"/>
      <c r="F5" s="8">
        <f>IF(E5="","",E5-D5)</f>
        <v/>
      </c>
      <c r="G5" s="6">
        <f>IF(E5="","(chưa nhập)",IF(ABS(E5-D5)&lt;1000,"✓ Khớp","⚠ LỆCH"))</f>
        <v/>
      </c>
    </row>
    <row r="6">
      <c r="A6" s="6">
        <f>'5. Lãi thật'!A6</f>
        <v/>
      </c>
      <c r="B6" s="6">
        <f>'5. Lãi thật'!B6</f>
        <v/>
      </c>
      <c r="C6" s="6">
        <f>'5. Lãi thật'!C6</f>
        <v/>
      </c>
      <c r="D6" s="8">
        <f>'5. Lãi thật'!D6-('5. Lãi thật'!E6+'5. Lãi thật'!F6+'5. Lãi thật'!G6+'5. Lãi thật'!I6)</f>
        <v/>
      </c>
      <c r="E6" s="14" t="n"/>
      <c r="F6" s="8">
        <f>IF(E6="","",E6-D6)</f>
        <v/>
      </c>
      <c r="G6" s="6">
        <f>IF(E6="","(chưa nhập)",IF(ABS(E6-D6)&lt;1000,"✓ Khớp","⚠ LỆCH"))</f>
        <v/>
      </c>
    </row>
    <row r="7">
      <c r="A7" s="6">
        <f>'5. Lãi thật'!A7</f>
        <v/>
      </c>
      <c r="B7" s="6">
        <f>'5. Lãi thật'!B7</f>
        <v/>
      </c>
      <c r="C7" s="6">
        <f>'5. Lãi thật'!C7</f>
        <v/>
      </c>
      <c r="D7" s="8">
        <f>'5. Lãi thật'!D7-('5. Lãi thật'!E7+'5. Lãi thật'!F7+'5. Lãi thật'!G7+'5. Lãi thật'!I7)</f>
        <v/>
      </c>
      <c r="E7" s="14" t="n"/>
      <c r="F7" s="8">
        <f>IF(E7="","",E7-D7)</f>
        <v/>
      </c>
      <c r="G7" s="6">
        <f>IF(E7="","(chưa nhập)",IF(ABS(E7-D7)&lt;1000,"✓ Khớp","⚠ LỆCH"))</f>
        <v/>
      </c>
    </row>
    <row r="8">
      <c r="A8" s="6">
        <f>'5. Lãi thật'!A8</f>
        <v/>
      </c>
      <c r="B8" s="6">
        <f>'5. Lãi thật'!B8</f>
        <v/>
      </c>
      <c r="C8" s="6">
        <f>'5. Lãi thật'!C8</f>
        <v/>
      </c>
      <c r="D8" s="8">
        <f>'5. Lãi thật'!D8-('5. Lãi thật'!E8+'5. Lãi thật'!F8+'5. Lãi thật'!G8+'5. Lãi thật'!I8)</f>
        <v/>
      </c>
      <c r="E8" s="14" t="n"/>
      <c r="F8" s="8">
        <f>IF(E8="","",E8-D8)</f>
        <v/>
      </c>
      <c r="G8" s="6">
        <f>IF(E8="","(chưa nhập)",IF(ABS(E8-D8)&lt;1000,"✓ Khớp","⚠ LỆCH"))</f>
        <v/>
      </c>
    </row>
    <row r="9">
      <c r="A9" s="6">
        <f>'5. Lãi thật'!A9</f>
        <v/>
      </c>
      <c r="B9" s="6">
        <f>'5. Lãi thật'!B9</f>
        <v/>
      </c>
      <c r="C9" s="6">
        <f>'5. Lãi thật'!C9</f>
        <v/>
      </c>
      <c r="D9" s="8">
        <f>'5. Lãi thật'!D9-('5. Lãi thật'!E9+'5. Lãi thật'!F9+'5. Lãi thật'!G9+'5. Lãi thật'!I9)</f>
        <v/>
      </c>
      <c r="E9" s="14" t="n"/>
      <c r="F9" s="8">
        <f>IF(E9="","",E9-D9)</f>
        <v/>
      </c>
      <c r="G9" s="6">
        <f>IF(E9="","(chưa nhập)",IF(ABS(E9-D9)&lt;1000,"✓ Khớp","⚠ LỆCH"))</f>
        <v/>
      </c>
    </row>
    <row r="10">
      <c r="A10" s="6">
        <f>'5. Lãi thật'!A10</f>
        <v/>
      </c>
      <c r="B10" s="6">
        <f>'5. Lãi thật'!B10</f>
        <v/>
      </c>
      <c r="C10" s="6">
        <f>'5. Lãi thật'!C10</f>
        <v/>
      </c>
      <c r="D10" s="8">
        <f>'5. Lãi thật'!D10-('5. Lãi thật'!E10+'5. Lãi thật'!F10+'5. Lãi thật'!G10+'5. Lãi thật'!I10)</f>
        <v/>
      </c>
      <c r="E10" s="14" t="n"/>
      <c r="F10" s="8">
        <f>IF(E10="","",E10-D10)</f>
        <v/>
      </c>
      <c r="G10" s="6">
        <f>IF(E10="","(chưa nhập)",IF(ABS(E10-D10)&lt;1000,"✓ Khớp","⚠ LỆCH"))</f>
        <v/>
      </c>
    </row>
    <row r="11">
      <c r="A11" s="6">
        <f>'5. Lãi thật'!A11</f>
        <v/>
      </c>
      <c r="B11" s="6">
        <f>'5. Lãi thật'!B11</f>
        <v/>
      </c>
      <c r="C11" s="6">
        <f>'5. Lãi thật'!C11</f>
        <v/>
      </c>
      <c r="D11" s="8">
        <f>'5. Lãi thật'!D11-('5. Lãi thật'!E11+'5. Lãi thật'!F11+'5. Lãi thật'!G11+'5. Lãi thật'!I11)</f>
        <v/>
      </c>
      <c r="E11" s="14" t="n"/>
      <c r="F11" s="8">
        <f>IF(E11="","",E11-D11)</f>
        <v/>
      </c>
      <c r="G11" s="6">
        <f>IF(E11="","(chưa nhập)",IF(ABS(E11-D11)&lt;1000,"✓ Khớp","⚠ LỆCH"))</f>
        <v/>
      </c>
    </row>
  </sheetData>
  <conditionalFormatting sqref="G4:G11">
    <cfRule type="cellIs" priority="1" operator="equal" dxfId="0">
      <formula>"⚠ LỆCH"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17" customWidth="1" min="3" max="3"/>
    <col width="15" customWidth="1" min="4" max="4"/>
    <col width="11" customWidth="1" min="5" max="5"/>
    <col width="11" customWidth="1" min="6" max="6"/>
    <col width="11" customWidth="1" min="7" max="7"/>
    <col width="13" customWidth="1" min="8" max="8"/>
    <col width="9" customWidth="1" min="9" max="9"/>
    <col width="9" customWidth="1" min="10" max="10"/>
    <col width="12" customWidth="1" min="11" max="11"/>
    <col width="11" customWidth="1" min="12" max="12"/>
    <col width="11" customWidth="1" min="13" max="13"/>
    <col width="11" customWidth="1" min="14" max="14"/>
    <col width="13" customWidth="1" min="15" max="15"/>
    <col width="8" customWidth="1" min="16" max="16"/>
  </cols>
  <sheetData>
    <row r="1">
      <c r="A1" s="1" t="inlineStr">
        <is>
          <t>LÃI THẬT / đơn (tự tính theo trạng thái đơn)</t>
        </is>
      </c>
    </row>
    <row r="2">
      <c r="A2" s="4" t="inlineStr">
        <is>
          <t>Không cần nhập gì. Thêm đơn ở tab Nhập đơn → kéo công thức xuống.</t>
        </is>
      </c>
    </row>
    <row r="3">
      <c r="A3" s="5" t="inlineStr">
        <is>
          <t>Mã đơn</t>
        </is>
      </c>
      <c r="B3" s="5" t="inlineStr">
        <is>
          <t>Kênh</t>
        </is>
      </c>
      <c r="C3" s="5" t="inlineStr">
        <is>
          <t>Trạng thái</t>
        </is>
      </c>
      <c r="D3" s="5" t="inlineStr">
        <is>
          <t>Doanh thu ghi nhận</t>
        </is>
      </c>
      <c r="E3" s="5" t="inlineStr">
        <is>
          <t>Hoa hồng sàn</t>
        </is>
      </c>
      <c r="F3" s="5" t="inlineStr">
        <is>
          <t>Phí giao dịch</t>
        </is>
      </c>
      <c r="G3" s="5" t="inlineStr">
        <is>
          <t>Phí DV+Xtra</t>
        </is>
      </c>
      <c r="H3" s="5" t="inlineStr">
        <is>
          <t>Hoa hồng affiliate</t>
        </is>
      </c>
      <c r="I3" s="5" t="inlineStr">
        <is>
          <t>Phí xử lý</t>
        </is>
      </c>
      <c r="J3" s="5" t="inlineStr">
        <is>
          <t>Phí COD</t>
        </is>
      </c>
      <c r="K3" s="5" t="inlineStr">
        <is>
          <t>Ship shop chịu</t>
        </is>
      </c>
      <c r="L3" s="5" t="inlineStr">
        <is>
          <t>Giá vốn</t>
        </is>
      </c>
      <c r="M3" s="5" t="inlineStr">
        <is>
          <t>Ads</t>
        </is>
      </c>
      <c r="N3" s="5" t="inlineStr">
        <is>
          <t>Thuế khoán</t>
        </is>
      </c>
      <c r="O3" s="5" t="inlineStr">
        <is>
          <t>LÃI THẬT</t>
        </is>
      </c>
      <c r="P3" s="5" t="inlineStr">
        <is>
          <t>Biên %</t>
        </is>
      </c>
    </row>
    <row r="4">
      <c r="A4" s="6">
        <f>'2. Nhập đơn'!A4</f>
        <v/>
      </c>
      <c r="B4" s="6">
        <f>'2. Nhập đơn'!D4</f>
        <v/>
      </c>
      <c r="C4" s="6">
        <f>'2. Nhập đơn'!E4</f>
        <v/>
      </c>
      <c r="D4" s="8">
        <f>IF(OR('2. Nhập đơn'!E4="Đã hủy",'2. Nhập đơn'!E4="Trả hàng-Hoàn tiền"),0,IF('2. Nhập đơn'!E4="Hoàn 1 phần",'2. Nhập đơn'!H4*'2. Nhập đơn'!I4-'2. Nhập đơn'!J4-'2. Nhập đơn'!P4,'2. Nhập đơn'!H4*'2. Nhập đơn'!I4-'2. Nhập đơn'!J4))</f>
        <v/>
      </c>
      <c r="E4" s="8">
        <f>D4*VLOOKUP(B4,'1. Cấu hình phí'!$A$4:$I$7,4,FALSE)</f>
        <v/>
      </c>
      <c r="F4" s="8">
        <f>D4*VLOOKUP(B4,'1. Cấu hình phí'!$A$4:$I$7,5,FALSE)</f>
        <v/>
      </c>
      <c r="G4" s="8">
        <f>D4*(VLOOKUP(B4,'1. Cấu hình phí'!$A$4:$I$7,6,FALSE)+VLOOKUP(B4,'1. Cấu hình phí'!$A$4:$I$7,7,FALSE)+VLOOKUP(B4,'1. Cấu hình phí'!$A$4:$I$7,8,FALSE))</f>
        <v/>
      </c>
      <c r="H4" s="8">
        <f>D4*'2. Nhập đơn'!N4</f>
        <v/>
      </c>
      <c r="I4" s="8">
        <f>IF(D4&gt;0,VLOOKUP(B4,'1. Cấu hình phí'!$A$4:$I$7,9,FALSE),0)</f>
        <v/>
      </c>
      <c r="J4" s="8">
        <f>IF(AND('2. Nhập đơn'!O4="Có",D4&gt;0),D4*'1. Cấu hình phí'!$B$12,0)</f>
        <v/>
      </c>
      <c r="K4" s="8">
        <f>IF('2. Nhập đơn'!E4="Đã hủy",0,'2. Nhập đơn'!M4)</f>
        <v/>
      </c>
      <c r="L4" s="8">
        <f>IF(OR('2. Nhập đơn'!E4="Đã hủy",'2. Nhập đơn'!E4="Trả hàng-Hoàn tiền"),0,'2. Nhập đơn'!H4*'2. Nhập đơn'!L4)</f>
        <v/>
      </c>
      <c r="M4" s="8">
        <f>'2. Nhập đơn'!Q4</f>
        <v/>
      </c>
      <c r="N4" s="8">
        <f>D4*('1. Cấu hình phí'!$B$13+'1. Cấu hình phí'!$B$14)</f>
        <v/>
      </c>
      <c r="O4" s="11">
        <f>D4-E4-F4-G4-H4-I4-J4-K4-L4-M4-N4</f>
        <v/>
      </c>
      <c r="P4" s="7">
        <f>IF(D4=0,"",O4/D4)</f>
        <v/>
      </c>
    </row>
    <row r="5">
      <c r="A5" s="6">
        <f>'2. Nhập đơn'!A5</f>
        <v/>
      </c>
      <c r="B5" s="6">
        <f>'2. Nhập đơn'!D5</f>
        <v/>
      </c>
      <c r="C5" s="6">
        <f>'2. Nhập đơn'!E5</f>
        <v/>
      </c>
      <c r="D5" s="8">
        <f>IF(OR('2. Nhập đơn'!E5="Đã hủy",'2. Nhập đơn'!E5="Trả hàng-Hoàn tiền"),0,IF('2. Nhập đơn'!E5="Hoàn 1 phần",'2. Nhập đơn'!H5*'2. Nhập đơn'!I5-'2. Nhập đơn'!J5-'2. Nhập đơn'!P5,'2. Nhập đơn'!H5*'2. Nhập đơn'!I5-'2. Nhập đơn'!J5))</f>
        <v/>
      </c>
      <c r="E5" s="8">
        <f>D5*VLOOKUP(B5,'1. Cấu hình phí'!$A$4:$I$7,4,FALSE)</f>
        <v/>
      </c>
      <c r="F5" s="8">
        <f>D5*VLOOKUP(B5,'1. Cấu hình phí'!$A$4:$I$7,5,FALSE)</f>
        <v/>
      </c>
      <c r="G5" s="8">
        <f>D5*(VLOOKUP(B5,'1. Cấu hình phí'!$A$4:$I$7,6,FALSE)+VLOOKUP(B5,'1. Cấu hình phí'!$A$4:$I$7,7,FALSE)+VLOOKUP(B5,'1. Cấu hình phí'!$A$4:$I$7,8,FALSE))</f>
        <v/>
      </c>
      <c r="H5" s="8">
        <f>D5*'2. Nhập đơn'!N5</f>
        <v/>
      </c>
      <c r="I5" s="8">
        <f>IF(D5&gt;0,VLOOKUP(B5,'1. Cấu hình phí'!$A$4:$I$7,9,FALSE),0)</f>
        <v/>
      </c>
      <c r="J5" s="8">
        <f>IF(AND('2. Nhập đơn'!O5="Có",D5&gt;0),D5*'1. Cấu hình phí'!$B$12,0)</f>
        <v/>
      </c>
      <c r="K5" s="8">
        <f>IF('2. Nhập đơn'!E5="Đã hủy",0,'2. Nhập đơn'!M5)</f>
        <v/>
      </c>
      <c r="L5" s="8">
        <f>IF(OR('2. Nhập đơn'!E5="Đã hủy",'2. Nhập đơn'!E5="Trả hàng-Hoàn tiền"),0,'2. Nhập đơn'!H5*'2. Nhập đơn'!L5)</f>
        <v/>
      </c>
      <c r="M5" s="8">
        <f>'2. Nhập đơn'!Q5</f>
        <v/>
      </c>
      <c r="N5" s="8">
        <f>D5*('1. Cấu hình phí'!$B$13+'1. Cấu hình phí'!$B$14)</f>
        <v/>
      </c>
      <c r="O5" s="11">
        <f>D5-E5-F5-G5-H5-I5-J5-K5-L5-M5-N5</f>
        <v/>
      </c>
      <c r="P5" s="7">
        <f>IF(D5=0,"",O5/D5)</f>
        <v/>
      </c>
    </row>
    <row r="6">
      <c r="A6" s="6">
        <f>'2. Nhập đơn'!A6</f>
        <v/>
      </c>
      <c r="B6" s="6">
        <f>'2. Nhập đơn'!D6</f>
        <v/>
      </c>
      <c r="C6" s="6">
        <f>'2. Nhập đơn'!E6</f>
        <v/>
      </c>
      <c r="D6" s="8">
        <f>IF(OR('2. Nhập đơn'!E6="Đã hủy",'2. Nhập đơn'!E6="Trả hàng-Hoàn tiền"),0,IF('2. Nhập đơn'!E6="Hoàn 1 phần",'2. Nhập đơn'!H6*'2. Nhập đơn'!I6-'2. Nhập đơn'!J6-'2. Nhập đơn'!P6,'2. Nhập đơn'!H6*'2. Nhập đơn'!I6-'2. Nhập đơn'!J6))</f>
        <v/>
      </c>
      <c r="E6" s="8">
        <f>D6*VLOOKUP(B6,'1. Cấu hình phí'!$A$4:$I$7,4,FALSE)</f>
        <v/>
      </c>
      <c r="F6" s="8">
        <f>D6*VLOOKUP(B6,'1. Cấu hình phí'!$A$4:$I$7,5,FALSE)</f>
        <v/>
      </c>
      <c r="G6" s="8">
        <f>D6*(VLOOKUP(B6,'1. Cấu hình phí'!$A$4:$I$7,6,FALSE)+VLOOKUP(B6,'1. Cấu hình phí'!$A$4:$I$7,7,FALSE)+VLOOKUP(B6,'1. Cấu hình phí'!$A$4:$I$7,8,FALSE))</f>
        <v/>
      </c>
      <c r="H6" s="8">
        <f>D6*'2. Nhập đơn'!N6</f>
        <v/>
      </c>
      <c r="I6" s="8">
        <f>IF(D6&gt;0,VLOOKUP(B6,'1. Cấu hình phí'!$A$4:$I$7,9,FALSE),0)</f>
        <v/>
      </c>
      <c r="J6" s="8">
        <f>IF(AND('2. Nhập đơn'!O6="Có",D6&gt;0),D6*'1. Cấu hình phí'!$B$12,0)</f>
        <v/>
      </c>
      <c r="K6" s="8">
        <f>IF('2. Nhập đơn'!E6="Đã hủy",0,'2. Nhập đơn'!M6)</f>
        <v/>
      </c>
      <c r="L6" s="8">
        <f>IF(OR('2. Nhập đơn'!E6="Đã hủy",'2. Nhập đơn'!E6="Trả hàng-Hoàn tiền"),0,'2. Nhập đơn'!H6*'2. Nhập đơn'!L6)</f>
        <v/>
      </c>
      <c r="M6" s="8">
        <f>'2. Nhập đơn'!Q6</f>
        <v/>
      </c>
      <c r="N6" s="8">
        <f>D6*('1. Cấu hình phí'!$B$13+'1. Cấu hình phí'!$B$14)</f>
        <v/>
      </c>
      <c r="O6" s="11">
        <f>D6-E6-F6-G6-H6-I6-J6-K6-L6-M6-N6</f>
        <v/>
      </c>
      <c r="P6" s="7">
        <f>IF(D6=0,"",O6/D6)</f>
        <v/>
      </c>
    </row>
    <row r="7">
      <c r="A7" s="6">
        <f>'2. Nhập đơn'!A7</f>
        <v/>
      </c>
      <c r="B7" s="6">
        <f>'2. Nhập đơn'!D7</f>
        <v/>
      </c>
      <c r="C7" s="6">
        <f>'2. Nhập đơn'!E7</f>
        <v/>
      </c>
      <c r="D7" s="8">
        <f>IF(OR('2. Nhập đơn'!E7="Đã hủy",'2. Nhập đơn'!E7="Trả hàng-Hoàn tiền"),0,IF('2. Nhập đơn'!E7="Hoàn 1 phần",'2. Nhập đơn'!H7*'2. Nhập đơn'!I7-'2. Nhập đơn'!J7-'2. Nhập đơn'!P7,'2. Nhập đơn'!H7*'2. Nhập đơn'!I7-'2. Nhập đơn'!J7))</f>
        <v/>
      </c>
      <c r="E7" s="8">
        <f>D7*VLOOKUP(B7,'1. Cấu hình phí'!$A$4:$I$7,4,FALSE)</f>
        <v/>
      </c>
      <c r="F7" s="8">
        <f>D7*VLOOKUP(B7,'1. Cấu hình phí'!$A$4:$I$7,5,FALSE)</f>
        <v/>
      </c>
      <c r="G7" s="8">
        <f>D7*(VLOOKUP(B7,'1. Cấu hình phí'!$A$4:$I$7,6,FALSE)+VLOOKUP(B7,'1. Cấu hình phí'!$A$4:$I$7,7,FALSE)+VLOOKUP(B7,'1. Cấu hình phí'!$A$4:$I$7,8,FALSE))</f>
        <v/>
      </c>
      <c r="H7" s="8">
        <f>D7*'2. Nhập đơn'!N7</f>
        <v/>
      </c>
      <c r="I7" s="8">
        <f>IF(D7&gt;0,VLOOKUP(B7,'1. Cấu hình phí'!$A$4:$I$7,9,FALSE),0)</f>
        <v/>
      </c>
      <c r="J7" s="8">
        <f>IF(AND('2. Nhập đơn'!O7="Có",D7&gt;0),D7*'1. Cấu hình phí'!$B$12,0)</f>
        <v/>
      </c>
      <c r="K7" s="8">
        <f>IF('2. Nhập đơn'!E7="Đã hủy",0,'2. Nhập đơn'!M7)</f>
        <v/>
      </c>
      <c r="L7" s="8">
        <f>IF(OR('2. Nhập đơn'!E7="Đã hủy",'2. Nhập đơn'!E7="Trả hàng-Hoàn tiền"),0,'2. Nhập đơn'!H7*'2. Nhập đơn'!L7)</f>
        <v/>
      </c>
      <c r="M7" s="8">
        <f>'2. Nhập đơn'!Q7</f>
        <v/>
      </c>
      <c r="N7" s="8">
        <f>D7*('1. Cấu hình phí'!$B$13+'1. Cấu hình phí'!$B$14)</f>
        <v/>
      </c>
      <c r="O7" s="11">
        <f>D7-E7-F7-G7-H7-I7-J7-K7-L7-M7-N7</f>
        <v/>
      </c>
      <c r="P7" s="7">
        <f>IF(D7=0,"",O7/D7)</f>
        <v/>
      </c>
    </row>
    <row r="8">
      <c r="A8" s="6">
        <f>'2. Nhập đơn'!A8</f>
        <v/>
      </c>
      <c r="B8" s="6">
        <f>'2. Nhập đơn'!D8</f>
        <v/>
      </c>
      <c r="C8" s="6">
        <f>'2. Nhập đơn'!E8</f>
        <v/>
      </c>
      <c r="D8" s="8">
        <f>IF(OR('2. Nhập đơn'!E8="Đã hủy",'2. Nhập đơn'!E8="Trả hàng-Hoàn tiền"),0,IF('2. Nhập đơn'!E8="Hoàn 1 phần",'2. Nhập đơn'!H8*'2. Nhập đơn'!I8-'2. Nhập đơn'!J8-'2. Nhập đơn'!P8,'2. Nhập đơn'!H8*'2. Nhập đơn'!I8-'2. Nhập đơn'!J8))</f>
        <v/>
      </c>
      <c r="E8" s="8">
        <f>D8*VLOOKUP(B8,'1. Cấu hình phí'!$A$4:$I$7,4,FALSE)</f>
        <v/>
      </c>
      <c r="F8" s="8">
        <f>D8*VLOOKUP(B8,'1. Cấu hình phí'!$A$4:$I$7,5,FALSE)</f>
        <v/>
      </c>
      <c r="G8" s="8">
        <f>D8*(VLOOKUP(B8,'1. Cấu hình phí'!$A$4:$I$7,6,FALSE)+VLOOKUP(B8,'1. Cấu hình phí'!$A$4:$I$7,7,FALSE)+VLOOKUP(B8,'1. Cấu hình phí'!$A$4:$I$7,8,FALSE))</f>
        <v/>
      </c>
      <c r="H8" s="8">
        <f>D8*'2. Nhập đơn'!N8</f>
        <v/>
      </c>
      <c r="I8" s="8">
        <f>IF(D8&gt;0,VLOOKUP(B8,'1. Cấu hình phí'!$A$4:$I$7,9,FALSE),0)</f>
        <v/>
      </c>
      <c r="J8" s="8">
        <f>IF(AND('2. Nhập đơn'!O8="Có",D8&gt;0),D8*'1. Cấu hình phí'!$B$12,0)</f>
        <v/>
      </c>
      <c r="K8" s="8">
        <f>IF('2. Nhập đơn'!E8="Đã hủy",0,'2. Nhập đơn'!M8)</f>
        <v/>
      </c>
      <c r="L8" s="8">
        <f>IF(OR('2. Nhập đơn'!E8="Đã hủy",'2. Nhập đơn'!E8="Trả hàng-Hoàn tiền"),0,'2. Nhập đơn'!H8*'2. Nhập đơn'!L8)</f>
        <v/>
      </c>
      <c r="M8" s="8">
        <f>'2. Nhập đơn'!Q8</f>
        <v/>
      </c>
      <c r="N8" s="8">
        <f>D8*('1. Cấu hình phí'!$B$13+'1. Cấu hình phí'!$B$14)</f>
        <v/>
      </c>
      <c r="O8" s="11">
        <f>D8-E8-F8-G8-H8-I8-J8-K8-L8-M8-N8</f>
        <v/>
      </c>
      <c r="P8" s="7">
        <f>IF(D8=0,"",O8/D8)</f>
        <v/>
      </c>
    </row>
    <row r="9">
      <c r="A9" s="6">
        <f>'2. Nhập đơn'!A9</f>
        <v/>
      </c>
      <c r="B9" s="6">
        <f>'2. Nhập đơn'!D9</f>
        <v/>
      </c>
      <c r="C9" s="6">
        <f>'2. Nhập đơn'!E9</f>
        <v/>
      </c>
      <c r="D9" s="8">
        <f>IF(OR('2. Nhập đơn'!E9="Đã hủy",'2. Nhập đơn'!E9="Trả hàng-Hoàn tiền"),0,IF('2. Nhập đơn'!E9="Hoàn 1 phần",'2. Nhập đơn'!H9*'2. Nhập đơn'!I9-'2. Nhập đơn'!J9-'2. Nhập đơn'!P9,'2. Nhập đơn'!H9*'2. Nhập đơn'!I9-'2. Nhập đơn'!J9))</f>
        <v/>
      </c>
      <c r="E9" s="8">
        <f>D9*VLOOKUP(B9,'1. Cấu hình phí'!$A$4:$I$7,4,FALSE)</f>
        <v/>
      </c>
      <c r="F9" s="8">
        <f>D9*VLOOKUP(B9,'1. Cấu hình phí'!$A$4:$I$7,5,FALSE)</f>
        <v/>
      </c>
      <c r="G9" s="8">
        <f>D9*(VLOOKUP(B9,'1. Cấu hình phí'!$A$4:$I$7,6,FALSE)+VLOOKUP(B9,'1. Cấu hình phí'!$A$4:$I$7,7,FALSE)+VLOOKUP(B9,'1. Cấu hình phí'!$A$4:$I$7,8,FALSE))</f>
        <v/>
      </c>
      <c r="H9" s="8">
        <f>D9*'2. Nhập đơn'!N9</f>
        <v/>
      </c>
      <c r="I9" s="8">
        <f>IF(D9&gt;0,VLOOKUP(B9,'1. Cấu hình phí'!$A$4:$I$7,9,FALSE),0)</f>
        <v/>
      </c>
      <c r="J9" s="8">
        <f>IF(AND('2. Nhập đơn'!O9="Có",D9&gt;0),D9*'1. Cấu hình phí'!$B$12,0)</f>
        <v/>
      </c>
      <c r="K9" s="8">
        <f>IF('2. Nhập đơn'!E9="Đã hủy",0,'2. Nhập đơn'!M9)</f>
        <v/>
      </c>
      <c r="L9" s="8">
        <f>IF(OR('2. Nhập đơn'!E9="Đã hủy",'2. Nhập đơn'!E9="Trả hàng-Hoàn tiền"),0,'2. Nhập đơn'!H9*'2. Nhập đơn'!L9)</f>
        <v/>
      </c>
      <c r="M9" s="8">
        <f>'2. Nhập đơn'!Q9</f>
        <v/>
      </c>
      <c r="N9" s="8">
        <f>D9*('1. Cấu hình phí'!$B$13+'1. Cấu hình phí'!$B$14)</f>
        <v/>
      </c>
      <c r="O9" s="11">
        <f>D9-E9-F9-G9-H9-I9-J9-K9-L9-M9-N9</f>
        <v/>
      </c>
      <c r="P9" s="7">
        <f>IF(D9=0,"",O9/D9)</f>
        <v/>
      </c>
    </row>
    <row r="10">
      <c r="A10" s="6">
        <f>'2. Nhập đơn'!A10</f>
        <v/>
      </c>
      <c r="B10" s="6">
        <f>'2. Nhập đơn'!D10</f>
        <v/>
      </c>
      <c r="C10" s="6">
        <f>'2. Nhập đơn'!E10</f>
        <v/>
      </c>
      <c r="D10" s="8">
        <f>IF(OR('2. Nhập đơn'!E10="Đã hủy",'2. Nhập đơn'!E10="Trả hàng-Hoàn tiền"),0,IF('2. Nhập đơn'!E10="Hoàn 1 phần",'2. Nhập đơn'!H10*'2. Nhập đơn'!I10-'2. Nhập đơn'!J10-'2. Nhập đơn'!P10,'2. Nhập đơn'!H10*'2. Nhập đơn'!I10-'2. Nhập đơn'!J10))</f>
        <v/>
      </c>
      <c r="E10" s="8">
        <f>D10*VLOOKUP(B10,'1. Cấu hình phí'!$A$4:$I$7,4,FALSE)</f>
        <v/>
      </c>
      <c r="F10" s="8">
        <f>D10*VLOOKUP(B10,'1. Cấu hình phí'!$A$4:$I$7,5,FALSE)</f>
        <v/>
      </c>
      <c r="G10" s="8">
        <f>D10*(VLOOKUP(B10,'1. Cấu hình phí'!$A$4:$I$7,6,FALSE)+VLOOKUP(B10,'1. Cấu hình phí'!$A$4:$I$7,7,FALSE)+VLOOKUP(B10,'1. Cấu hình phí'!$A$4:$I$7,8,FALSE))</f>
        <v/>
      </c>
      <c r="H10" s="8">
        <f>D10*'2. Nhập đơn'!N10</f>
        <v/>
      </c>
      <c r="I10" s="8">
        <f>IF(D10&gt;0,VLOOKUP(B10,'1. Cấu hình phí'!$A$4:$I$7,9,FALSE),0)</f>
        <v/>
      </c>
      <c r="J10" s="8">
        <f>IF(AND('2. Nhập đơn'!O10="Có",D10&gt;0),D10*'1. Cấu hình phí'!$B$12,0)</f>
        <v/>
      </c>
      <c r="K10" s="8">
        <f>IF('2. Nhập đơn'!E10="Đã hủy",0,'2. Nhập đơn'!M10)</f>
        <v/>
      </c>
      <c r="L10" s="8">
        <f>IF(OR('2. Nhập đơn'!E10="Đã hủy",'2. Nhập đơn'!E10="Trả hàng-Hoàn tiền"),0,'2. Nhập đơn'!H10*'2. Nhập đơn'!L10)</f>
        <v/>
      </c>
      <c r="M10" s="8">
        <f>'2. Nhập đơn'!Q10</f>
        <v/>
      </c>
      <c r="N10" s="8">
        <f>D10*('1. Cấu hình phí'!$B$13+'1. Cấu hình phí'!$B$14)</f>
        <v/>
      </c>
      <c r="O10" s="11">
        <f>D10-E10-F10-G10-H10-I10-J10-K10-L10-M10-N10</f>
        <v/>
      </c>
      <c r="P10" s="7">
        <f>IF(D10=0,"",O10/D10)</f>
        <v/>
      </c>
    </row>
    <row r="11">
      <c r="A11" s="6">
        <f>'2. Nhập đơn'!A11</f>
        <v/>
      </c>
      <c r="B11" s="6">
        <f>'2. Nhập đơn'!D11</f>
        <v/>
      </c>
      <c r="C11" s="6">
        <f>'2. Nhập đơn'!E11</f>
        <v/>
      </c>
      <c r="D11" s="8">
        <f>IF(OR('2. Nhập đơn'!E11="Đã hủy",'2. Nhập đơn'!E11="Trả hàng-Hoàn tiền"),0,IF('2. Nhập đơn'!E11="Hoàn 1 phần",'2. Nhập đơn'!H11*'2. Nhập đơn'!I11-'2. Nhập đơn'!J11-'2. Nhập đơn'!P11,'2. Nhập đơn'!H11*'2. Nhập đơn'!I11-'2. Nhập đơn'!J11))</f>
        <v/>
      </c>
      <c r="E11" s="8">
        <f>D11*VLOOKUP(B11,'1. Cấu hình phí'!$A$4:$I$7,4,FALSE)</f>
        <v/>
      </c>
      <c r="F11" s="8">
        <f>D11*VLOOKUP(B11,'1. Cấu hình phí'!$A$4:$I$7,5,FALSE)</f>
        <v/>
      </c>
      <c r="G11" s="8">
        <f>D11*(VLOOKUP(B11,'1. Cấu hình phí'!$A$4:$I$7,6,FALSE)+VLOOKUP(B11,'1. Cấu hình phí'!$A$4:$I$7,7,FALSE)+VLOOKUP(B11,'1. Cấu hình phí'!$A$4:$I$7,8,FALSE))</f>
        <v/>
      </c>
      <c r="H11" s="8">
        <f>D11*'2. Nhập đơn'!N11</f>
        <v/>
      </c>
      <c r="I11" s="8">
        <f>IF(D11&gt;0,VLOOKUP(B11,'1. Cấu hình phí'!$A$4:$I$7,9,FALSE),0)</f>
        <v/>
      </c>
      <c r="J11" s="8">
        <f>IF(AND('2. Nhập đơn'!O11="Có",D11&gt;0),D11*'1. Cấu hình phí'!$B$12,0)</f>
        <v/>
      </c>
      <c r="K11" s="8">
        <f>IF('2. Nhập đơn'!E11="Đã hủy",0,'2. Nhập đơn'!M11)</f>
        <v/>
      </c>
      <c r="L11" s="8">
        <f>IF(OR('2. Nhập đơn'!E11="Đã hủy",'2. Nhập đơn'!E11="Trả hàng-Hoàn tiền"),0,'2. Nhập đơn'!H11*'2. Nhập đơn'!L11)</f>
        <v/>
      </c>
      <c r="M11" s="8">
        <f>'2. Nhập đơn'!Q11</f>
        <v/>
      </c>
      <c r="N11" s="8">
        <f>D11*('1. Cấu hình phí'!$B$13+'1. Cấu hình phí'!$B$14)</f>
        <v/>
      </c>
      <c r="O11" s="11">
        <f>D11-E11-F11-G11-H11-I11-J11-K11-L11-M11-N11</f>
        <v/>
      </c>
      <c r="P11" s="7">
        <f>IF(D11=0,"",O11/D11)</f>
        <v/>
      </c>
    </row>
  </sheetData>
  <conditionalFormatting sqref="O4:O1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Dashboard — tổng quan lãi thật</t>
        </is>
      </c>
    </row>
    <row r="3">
      <c r="A3" s="15" t="inlineStr">
        <is>
          <t>Tổng doanh thu ghi nhận</t>
        </is>
      </c>
      <c r="B3" s="16">
        <f>SUM('5. Lãi thật'!D4:D11)</f>
        <v/>
      </c>
    </row>
    <row r="4">
      <c r="A4" s="15" t="inlineStr">
        <is>
          <t>Tổng LÃI THẬT</t>
        </is>
      </c>
      <c r="B4" s="16">
        <f>SUM('5. Lãi thật'!O4:O11)</f>
        <v/>
      </c>
    </row>
    <row r="5">
      <c r="A5" s="15" t="inlineStr">
        <is>
          <t>Tổng chi Ads</t>
        </is>
      </c>
      <c r="B5" s="16">
        <f>SUM('5. Lãi thật'!M4:M11)</f>
        <v/>
      </c>
    </row>
    <row r="6">
      <c r="A6" s="15" t="inlineStr">
        <is>
          <t>Biên trung bình</t>
        </is>
      </c>
      <c r="B6" s="17">
        <f>IF(SUM('5. Lãi thật'!D4:D11)=0,"",SUM('5. Lãi thật'!O4:O11)/SUM('5. Lãi thật'!D4:D11))</f>
        <v/>
      </c>
    </row>
    <row r="7">
      <c r="A7" s="15" t="inlineStr">
        <is>
          <t>Số đơn LÃI</t>
        </is>
      </c>
      <c r="B7" s="18">
        <f>COUNTIF('5. Lãi thật'!O4:O11,"&gt;0")</f>
        <v/>
      </c>
    </row>
    <row r="8">
      <c r="A8" s="15" t="inlineStr">
        <is>
          <t>Số đơn LỖ / âm</t>
        </is>
      </c>
      <c r="B8" s="18">
        <f>COUNTIF('5. Lãi thật'!O4:O11,"&lt;0")</f>
        <v/>
      </c>
    </row>
    <row r="10">
      <c r="A10" s="9" t="inlineStr">
        <is>
          <t>Theo KÊNH</t>
        </is>
      </c>
    </row>
    <row r="11">
      <c r="A11" s="6" t="inlineStr">
        <is>
          <t>TikTok Shop - Thường</t>
        </is>
      </c>
      <c r="B11" s="8">
        <f>SUMIF('5. Lãi thật'!B4:B11,A11,'5. Lãi thật'!O4:O11)</f>
        <v/>
      </c>
    </row>
    <row r="12">
      <c r="A12" s="6" t="inlineStr">
        <is>
          <t>Shopee - Thường</t>
        </is>
      </c>
      <c r="B12" s="8">
        <f>SUMIF('5. Lãi thật'!B4:B11,A12,'5. Lãi thật'!O4:O11)</f>
        <v/>
      </c>
    </row>
    <row r="14">
      <c r="A14" s="9" t="inlineStr">
        <is>
          <t>Theo TRẠNG THÁI (số đơn)</t>
        </is>
      </c>
    </row>
    <row r="15">
      <c r="A15" s="6" t="inlineStr">
        <is>
          <t>Hoàn thành</t>
        </is>
      </c>
      <c r="B15" s="19">
        <f>COUNTIF('5. Lãi thật'!C4:C11,A15)</f>
        <v/>
      </c>
    </row>
    <row r="16">
      <c r="A16" s="6" t="inlineStr">
        <is>
          <t>Đang giao</t>
        </is>
      </c>
      <c r="B16" s="19">
        <f>COUNTIF('5. Lãi thật'!C4:C11,A16)</f>
        <v/>
      </c>
    </row>
    <row r="17">
      <c r="A17" s="6" t="inlineStr">
        <is>
          <t>Đã hủy</t>
        </is>
      </c>
      <c r="B17" s="19">
        <f>COUNTIF('5. Lãi thật'!C4:C11,A17)</f>
        <v/>
      </c>
    </row>
    <row r="18">
      <c r="A18" s="6" t="inlineStr">
        <is>
          <t>Trả hàng-Hoàn tiền</t>
        </is>
      </c>
      <c r="B18" s="19">
        <f>COUNTIF('5. Lãi thật'!C4:C11,A18)</f>
        <v/>
      </c>
    </row>
    <row r="19">
      <c r="A19" s="6" t="inlineStr">
        <is>
          <t>Hoàn 1 phần</t>
        </is>
      </c>
      <c r="B19" s="19">
        <f>COUNTIF('5. Lãi thật'!C4:C11,A19)</f>
        <v/>
      </c>
    </row>
    <row r="21">
      <c r="A21" s="9" t="inlineStr">
        <is>
          <t>Theo SKU (lãi thật)</t>
        </is>
      </c>
    </row>
    <row r="22">
      <c r="A22" s="6" t="inlineStr">
        <is>
          <t>AO-THUN-DEN-M</t>
        </is>
      </c>
      <c r="B22" s="8">
        <f>SUMIFS('5. Lãi thật'!O4:O11,'2. Nhập đơn'!F4:F11,A22)</f>
        <v/>
      </c>
    </row>
    <row r="23">
      <c r="A23" s="6" t="inlineStr">
        <is>
          <t>QUAN-JEAN-29</t>
        </is>
      </c>
      <c r="B23" s="8">
        <f>SUMIFS('5. Lãi thật'!O4:O11,'2. Nhập đơn'!F4:F11,A23)</f>
        <v/>
      </c>
    </row>
    <row r="24">
      <c r="A24" s="6" t="inlineStr">
        <is>
          <t>VAY-HOA-S</t>
        </is>
      </c>
      <c r="B24" s="8">
        <f>SUMIFS('5. Lãi thật'!O4:O11,'2. Nhập đơn'!F4:F11,A24)</f>
        <v/>
      </c>
    </row>
    <row r="25">
      <c r="A25" s="6" t="inlineStr">
        <is>
          <t>GIAY-SNEAKER-40</t>
        </is>
      </c>
      <c r="B25" s="8">
        <f>SUMIFS('5. Lãi thật'!O4:O11,'2. Nhập đơn'!F4:F11,A25)</f>
        <v/>
      </c>
    </row>
    <row r="27">
      <c r="A27" s="20" t="inlineStr">
        <is>
          <t>* Số từ dữ liệu MINH HỌA — thay bằng đơn thật của bạn.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2026-07-07T15:04:22Z</dcterms:created>
  <dcterms:modified xsi:type="dcterms:W3CDTF">2026-07-07T15:04:22Z</dcterms:modified>
</cp:coreProperties>
</file>